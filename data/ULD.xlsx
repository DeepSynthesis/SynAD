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05"/>
  <workbookPr/>
  <mc:AlternateContent xmlns:mc="http://schemas.openxmlformats.org/markup-compatibility/2006">
    <mc:Choice Requires="x15">
      <x15ac:absPath xmlns:x15ac="http://schemas.microsoft.com/office/spreadsheetml/2010/11/ac" url="/Users/BoeingART_1/Downloads/"/>
    </mc:Choice>
  </mc:AlternateContent>
  <xr:revisionPtr revIDLastSave="0" documentId="13_ncr:1_{2B8526DE-BC50-4147-96E0-CCE19BDB1E50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Sheet1" sheetId="1" r:id="rId1"/>
    <sheet name="date" sheetId="2" r:id="rId2"/>
  </sheets>
  <definedNames>
    <definedName name="_xlnm._FilterDatabase" localSheetId="1" hidden="1">date!$A$1:$E$385</definedName>
    <definedName name="_xlnm._FilterDatabase" localSheetId="0" hidden="1">Sheet1!$A$1:$X$201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0" i="1" l="1"/>
  <c r="F200" i="1"/>
  <c r="G200" i="1"/>
  <c r="E201" i="1"/>
  <c r="F201" i="1"/>
  <c r="G201" i="1"/>
  <c r="E3" i="1"/>
  <c r="F3" i="1"/>
  <c r="G3" i="1"/>
  <c r="E4" i="1"/>
  <c r="F4" i="1"/>
  <c r="G4" i="1"/>
  <c r="E5" i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E88" i="1"/>
  <c r="F88" i="1"/>
  <c r="G88" i="1"/>
  <c r="E89" i="1"/>
  <c r="F89" i="1"/>
  <c r="G89" i="1"/>
  <c r="E90" i="1"/>
  <c r="F90" i="1"/>
  <c r="G90" i="1"/>
  <c r="E91" i="1"/>
  <c r="F91" i="1"/>
  <c r="G91" i="1"/>
  <c r="E92" i="1"/>
  <c r="F92" i="1"/>
  <c r="G92" i="1"/>
  <c r="E93" i="1"/>
  <c r="F93" i="1"/>
  <c r="G93" i="1"/>
  <c r="E94" i="1"/>
  <c r="F94" i="1"/>
  <c r="G94" i="1"/>
  <c r="E95" i="1"/>
  <c r="F95" i="1"/>
  <c r="G95" i="1"/>
  <c r="E96" i="1"/>
  <c r="F96" i="1"/>
  <c r="G96" i="1"/>
  <c r="E97" i="1"/>
  <c r="F97" i="1"/>
  <c r="G97" i="1"/>
  <c r="E98" i="1"/>
  <c r="F98" i="1"/>
  <c r="G98" i="1"/>
  <c r="E99" i="1"/>
  <c r="F99" i="1"/>
  <c r="G99" i="1"/>
  <c r="E100" i="1"/>
  <c r="F100" i="1"/>
  <c r="G100" i="1"/>
  <c r="E101" i="1"/>
  <c r="F101" i="1"/>
  <c r="G101" i="1"/>
  <c r="E102" i="1"/>
  <c r="F102" i="1"/>
  <c r="G102" i="1"/>
  <c r="E103" i="1"/>
  <c r="F103" i="1"/>
  <c r="G103" i="1"/>
  <c r="E104" i="1"/>
  <c r="F104" i="1"/>
  <c r="G104" i="1"/>
  <c r="E105" i="1"/>
  <c r="F105" i="1"/>
  <c r="G105" i="1"/>
  <c r="E106" i="1"/>
  <c r="F106" i="1"/>
  <c r="G106" i="1"/>
  <c r="E107" i="1"/>
  <c r="F107" i="1"/>
  <c r="G107" i="1"/>
  <c r="E108" i="1"/>
  <c r="F108" i="1"/>
  <c r="G108" i="1"/>
  <c r="E109" i="1"/>
  <c r="F109" i="1"/>
  <c r="G109" i="1"/>
  <c r="E110" i="1"/>
  <c r="F110" i="1"/>
  <c r="G110" i="1"/>
  <c r="E111" i="1"/>
  <c r="F111" i="1"/>
  <c r="G111" i="1"/>
  <c r="E112" i="1"/>
  <c r="F112" i="1"/>
  <c r="G112" i="1"/>
  <c r="E113" i="1"/>
  <c r="F113" i="1"/>
  <c r="G113" i="1"/>
  <c r="E114" i="1"/>
  <c r="F114" i="1"/>
  <c r="G114" i="1"/>
  <c r="E115" i="1"/>
  <c r="F115" i="1"/>
  <c r="G115" i="1"/>
  <c r="E116" i="1"/>
  <c r="F116" i="1"/>
  <c r="G116" i="1"/>
  <c r="E117" i="1"/>
  <c r="F117" i="1"/>
  <c r="G117" i="1"/>
  <c r="E118" i="1"/>
  <c r="F118" i="1"/>
  <c r="G118" i="1"/>
  <c r="E119" i="1"/>
  <c r="F119" i="1"/>
  <c r="G119" i="1"/>
  <c r="E120" i="1"/>
  <c r="F120" i="1"/>
  <c r="G120" i="1"/>
  <c r="E121" i="1"/>
  <c r="F121" i="1"/>
  <c r="G121" i="1"/>
  <c r="E122" i="1"/>
  <c r="F122" i="1"/>
  <c r="G122" i="1"/>
  <c r="E123" i="1"/>
  <c r="F123" i="1"/>
  <c r="G123" i="1"/>
  <c r="E124" i="1"/>
  <c r="F124" i="1"/>
  <c r="G124" i="1"/>
  <c r="E125" i="1"/>
  <c r="F125" i="1"/>
  <c r="G125" i="1"/>
  <c r="E126" i="1"/>
  <c r="F126" i="1"/>
  <c r="G126" i="1"/>
  <c r="E127" i="1"/>
  <c r="F127" i="1"/>
  <c r="G127" i="1"/>
  <c r="E128" i="1"/>
  <c r="F128" i="1"/>
  <c r="G128" i="1"/>
  <c r="E129" i="1"/>
  <c r="F129" i="1"/>
  <c r="G129" i="1"/>
  <c r="E130" i="1"/>
  <c r="F130" i="1"/>
  <c r="G130" i="1"/>
  <c r="E131" i="1"/>
  <c r="F131" i="1"/>
  <c r="G131" i="1"/>
  <c r="E132" i="1"/>
  <c r="F132" i="1"/>
  <c r="G132" i="1"/>
  <c r="E133" i="1"/>
  <c r="F133" i="1"/>
  <c r="G133" i="1"/>
  <c r="E134" i="1"/>
  <c r="F134" i="1"/>
  <c r="G134" i="1"/>
  <c r="E135" i="1"/>
  <c r="F135" i="1"/>
  <c r="G135" i="1"/>
  <c r="E136" i="1"/>
  <c r="F136" i="1"/>
  <c r="G136" i="1"/>
  <c r="E137" i="1"/>
  <c r="F137" i="1"/>
  <c r="G137" i="1"/>
  <c r="E138" i="1"/>
  <c r="F138" i="1"/>
  <c r="G138" i="1"/>
  <c r="E139" i="1"/>
  <c r="F139" i="1"/>
  <c r="G139" i="1"/>
  <c r="E140" i="1"/>
  <c r="F140" i="1"/>
  <c r="G140" i="1"/>
  <c r="E141" i="1"/>
  <c r="F141" i="1"/>
  <c r="G141" i="1"/>
  <c r="E142" i="1"/>
  <c r="F142" i="1"/>
  <c r="G142" i="1"/>
  <c r="E143" i="1"/>
  <c r="F143" i="1"/>
  <c r="G143" i="1"/>
  <c r="E144" i="1"/>
  <c r="F144" i="1"/>
  <c r="G144" i="1"/>
  <c r="E145" i="1"/>
  <c r="F145" i="1"/>
  <c r="G145" i="1"/>
  <c r="E146" i="1"/>
  <c r="F146" i="1"/>
  <c r="G146" i="1"/>
  <c r="E147" i="1"/>
  <c r="F147" i="1"/>
  <c r="G147" i="1"/>
  <c r="E148" i="1"/>
  <c r="F148" i="1"/>
  <c r="G148" i="1"/>
  <c r="E149" i="1"/>
  <c r="F149" i="1"/>
  <c r="G149" i="1"/>
  <c r="E150" i="1"/>
  <c r="F150" i="1"/>
  <c r="G150" i="1"/>
  <c r="E151" i="1"/>
  <c r="F151" i="1"/>
  <c r="G151" i="1"/>
  <c r="E152" i="1"/>
  <c r="F152" i="1"/>
  <c r="G152" i="1"/>
  <c r="E153" i="1"/>
  <c r="F153" i="1"/>
  <c r="G153" i="1"/>
  <c r="E154" i="1"/>
  <c r="F154" i="1"/>
  <c r="G154" i="1"/>
  <c r="E155" i="1"/>
  <c r="F155" i="1"/>
  <c r="G155" i="1"/>
  <c r="E156" i="1"/>
  <c r="F156" i="1"/>
  <c r="G156" i="1"/>
  <c r="E157" i="1"/>
  <c r="F157" i="1"/>
  <c r="G157" i="1"/>
  <c r="E158" i="1"/>
  <c r="F158" i="1"/>
  <c r="G158" i="1"/>
  <c r="E159" i="1"/>
  <c r="F159" i="1"/>
  <c r="G159" i="1"/>
  <c r="E160" i="1"/>
  <c r="F160" i="1"/>
  <c r="G160" i="1"/>
  <c r="E161" i="1"/>
  <c r="F161" i="1"/>
  <c r="G161" i="1"/>
  <c r="E162" i="1"/>
  <c r="F162" i="1"/>
  <c r="G162" i="1"/>
  <c r="E163" i="1"/>
  <c r="F163" i="1"/>
  <c r="G163" i="1"/>
  <c r="E164" i="1"/>
  <c r="F164" i="1"/>
  <c r="G164" i="1"/>
  <c r="E165" i="1"/>
  <c r="F165" i="1"/>
  <c r="G165" i="1"/>
  <c r="E166" i="1"/>
  <c r="F166" i="1"/>
  <c r="G166" i="1"/>
  <c r="E167" i="1"/>
  <c r="F167" i="1"/>
  <c r="G167" i="1"/>
  <c r="E168" i="1"/>
  <c r="F168" i="1"/>
  <c r="G168" i="1"/>
  <c r="E169" i="1"/>
  <c r="F169" i="1"/>
  <c r="G169" i="1"/>
  <c r="E170" i="1"/>
  <c r="F170" i="1"/>
  <c r="G170" i="1"/>
  <c r="E171" i="1"/>
  <c r="F171" i="1"/>
  <c r="G171" i="1"/>
  <c r="E172" i="1"/>
  <c r="F172" i="1"/>
  <c r="G172" i="1"/>
  <c r="E173" i="1"/>
  <c r="F173" i="1"/>
  <c r="G173" i="1"/>
  <c r="E174" i="1"/>
  <c r="F174" i="1"/>
  <c r="G174" i="1"/>
  <c r="E175" i="1"/>
  <c r="F175" i="1"/>
  <c r="G175" i="1"/>
  <c r="E176" i="1"/>
  <c r="F176" i="1"/>
  <c r="G176" i="1"/>
  <c r="E177" i="1"/>
  <c r="F177" i="1"/>
  <c r="G177" i="1"/>
  <c r="E178" i="1"/>
  <c r="F178" i="1"/>
  <c r="G178" i="1"/>
  <c r="E179" i="1"/>
  <c r="F179" i="1"/>
  <c r="G179" i="1"/>
  <c r="E180" i="1"/>
  <c r="F180" i="1"/>
  <c r="G180" i="1"/>
  <c r="E181" i="1"/>
  <c r="F181" i="1"/>
  <c r="G181" i="1"/>
  <c r="E182" i="1"/>
  <c r="F182" i="1"/>
  <c r="G182" i="1"/>
  <c r="E183" i="1"/>
  <c r="F183" i="1"/>
  <c r="G183" i="1"/>
  <c r="E184" i="1"/>
  <c r="F184" i="1"/>
  <c r="G184" i="1"/>
  <c r="E185" i="1"/>
  <c r="F185" i="1"/>
  <c r="G185" i="1"/>
  <c r="E186" i="1"/>
  <c r="F186" i="1"/>
  <c r="G186" i="1"/>
  <c r="E187" i="1"/>
  <c r="F187" i="1"/>
  <c r="G187" i="1"/>
  <c r="E188" i="1"/>
  <c r="F188" i="1"/>
  <c r="G188" i="1"/>
  <c r="E189" i="1"/>
  <c r="F189" i="1"/>
  <c r="G189" i="1"/>
  <c r="E190" i="1"/>
  <c r="F190" i="1"/>
  <c r="G190" i="1"/>
  <c r="E191" i="1"/>
  <c r="F191" i="1"/>
  <c r="G191" i="1"/>
  <c r="E192" i="1"/>
  <c r="F192" i="1"/>
  <c r="G192" i="1"/>
  <c r="E193" i="1"/>
  <c r="F193" i="1"/>
  <c r="G193" i="1"/>
  <c r="E194" i="1"/>
  <c r="F194" i="1"/>
  <c r="G194" i="1"/>
  <c r="E195" i="1"/>
  <c r="F195" i="1"/>
  <c r="G195" i="1"/>
  <c r="E196" i="1"/>
  <c r="F196" i="1"/>
  <c r="G196" i="1"/>
  <c r="E197" i="1"/>
  <c r="F197" i="1"/>
  <c r="G197" i="1"/>
  <c r="E198" i="1"/>
  <c r="F198" i="1"/>
  <c r="G198" i="1"/>
  <c r="E199" i="1"/>
  <c r="F199" i="1"/>
  <c r="G199" i="1"/>
  <c r="G2" i="1"/>
  <c r="F2" i="1"/>
  <c r="E2" i="1"/>
</calcChain>
</file>

<file path=xl/sharedStrings.xml><?xml version="1.0" encoding="utf-8"?>
<sst xmlns="http://schemas.openxmlformats.org/spreadsheetml/2006/main" count="3795" uniqueCount="1253">
  <si>
    <t>index</t>
  </si>
  <si>
    <t>entry</t>
  </si>
  <si>
    <t>paper</t>
  </si>
  <si>
    <t>ligand1</t>
  </si>
  <si>
    <t>ligand2</t>
  </si>
  <si>
    <t>metal</t>
  </si>
  <si>
    <t>reactant1</t>
  </si>
  <si>
    <t>reactant2</t>
  </si>
  <si>
    <t>product</t>
  </si>
  <si>
    <t>add1</t>
  </si>
  <si>
    <t>add2</t>
  </si>
  <si>
    <t>cat_amount</t>
  </si>
  <si>
    <t>solv</t>
  </si>
  <si>
    <t>temperature</t>
  </si>
  <si>
    <t>time</t>
  </si>
  <si>
    <t>yield</t>
  </si>
  <si>
    <t>others</t>
  </si>
  <si>
    <t>remark</t>
  </si>
  <si>
    <t>select_Tag</t>
  </si>
  <si>
    <t>r12</t>
  </si>
  <si>
    <t>H-4-T1-1</t>
  </si>
  <si>
    <t>H-4</t>
  </si>
  <si>
    <t>c1ccc(P(c2ccccc2)c2ccccc2)cc1</t>
  </si>
  <si>
    <t>blank_cell</t>
  </si>
  <si>
    <t>[Cu]I</t>
  </si>
  <si>
    <t>Ic1ccccc1</t>
  </si>
  <si>
    <t>Nc1ccccc1</t>
  </si>
  <si>
    <t>c1ccc(N(c2ccccc2)c2ccccc2)cc1</t>
  </si>
  <si>
    <t>Cc1ccccc1</t>
  </si>
  <si>
    <t>CC(C)(O[K])C</t>
  </si>
  <si>
    <t>more_than_1_product</t>
  </si>
  <si>
    <t>true</t>
  </si>
  <si>
    <t>Ic1ccccc1.Nc1ccccc1</t>
  </si>
  <si>
    <t>H-4-T1-2</t>
  </si>
  <si>
    <t>H-4-T1-3</t>
  </si>
  <si>
    <t>H-4-T1-4</t>
  </si>
  <si>
    <t>Cc1ccccc1P(c1ccccc1C)c1ccccc1C</t>
  </si>
  <si>
    <t>H-4-T1-5</t>
  </si>
  <si>
    <t>H-4-T1-6</t>
  </si>
  <si>
    <t>H-4-T1-7</t>
  </si>
  <si>
    <t>Brc1ccccc1</t>
  </si>
  <si>
    <t>Brc1ccccc1.Nc1ccccc1</t>
  </si>
  <si>
    <t>H-4-T1-8</t>
  </si>
  <si>
    <t>H-4-T1-9</t>
  </si>
  <si>
    <t>CC(C)(C)P(C(C)(C)C)C(C)(C)C</t>
  </si>
  <si>
    <t>H-4-T1-10</t>
  </si>
  <si>
    <t>H-4-T1-11</t>
  </si>
  <si>
    <t>H-4-T1-12</t>
  </si>
  <si>
    <t>H-4-T1-13</t>
  </si>
  <si>
    <t>H-4-T2-1</t>
  </si>
  <si>
    <t>Clc1ccccc1</t>
  </si>
  <si>
    <t>Clc1ccccc1.Nc1ccccc1</t>
  </si>
  <si>
    <t>H-4-T2-2</t>
  </si>
  <si>
    <t>COc1ccc(Cl)cc1</t>
  </si>
  <si>
    <t>COc1ccc(N(c2ccccc2)c2ccc(OC)cc2)cc1</t>
  </si>
  <si>
    <t>COc1ccc(Cl)cc1.Nc1ccccc1</t>
  </si>
  <si>
    <t>H-4-T2-3</t>
  </si>
  <si>
    <t>Cc1ccccc1Cl</t>
  </si>
  <si>
    <t>Cc1ccccc1N(c1ccccc1)c1ccccc1C</t>
  </si>
  <si>
    <t>Cc1ccccc1Cl.Nc1ccccc1</t>
  </si>
  <si>
    <t>H-4-T2-4</t>
  </si>
  <si>
    <t>COc1ccc(N)cc1</t>
  </si>
  <si>
    <t>COc1ccc(N(c2ccc(OC)cc2)c2ccc(OC)cc2)cc1</t>
  </si>
  <si>
    <t>COc1ccc(Cl)cc1.COc1ccc(N)cc1</t>
  </si>
  <si>
    <t>H-4-T2-5</t>
  </si>
  <si>
    <t>COc1ccc(N(c2ccccc2)c2ccccc2)cc1</t>
  </si>
  <si>
    <t>Clc1ccccc1.COc1ccc(N)cc1</t>
  </si>
  <si>
    <t>H-4-T2-6</t>
  </si>
  <si>
    <t>Cc1ccccc1N</t>
  </si>
  <si>
    <t>Cc1ccccc1N(c1ccccc1)c1ccccc1</t>
  </si>
  <si>
    <t>Clc1ccccc1.Cc1ccccc1N</t>
  </si>
  <si>
    <t>H-4-T2-7</t>
  </si>
  <si>
    <t>Brc1ccccc1.COc1ccc(N)cc1</t>
  </si>
  <si>
    <t>H-4-T2-8</t>
  </si>
  <si>
    <t>Brc1ccccc1.Cc1ccccc1N</t>
  </si>
  <si>
    <t>H-4-T2-9</t>
  </si>
  <si>
    <t>COc1ccc(Br)cc1</t>
  </si>
  <si>
    <t>COc1ccc(Br)cc1.Nc1ccccc1</t>
  </si>
  <si>
    <t>H-4-T2-10</t>
  </si>
  <si>
    <t>COc1ccc(Br)cc1.COc1ccc(N)cc1</t>
  </si>
  <si>
    <t>H-4-T2-11</t>
  </si>
  <si>
    <t>Nc1ccc([N+](=O)[O-])cc1</t>
  </si>
  <si>
    <t>O=[N+]([O-])c1ccc(N(c2ccccc2)c2ccccc2)cc1</t>
  </si>
  <si>
    <t>Brc1ccccc1.Nc1ccc([N+](=O)[O-])cc1</t>
  </si>
  <si>
    <t>H-4-T2-12</t>
  </si>
  <si>
    <t>Clc1ccccc1.Nc1ccc([N+](=O)[O-])cc1</t>
  </si>
  <si>
    <t>H-4-T2-13</t>
  </si>
  <si>
    <t>O=[N+]([O-])c1ccc(Cl)cc1</t>
  </si>
  <si>
    <t>O=[N+]([O-])c1ccc(N(c2ccccc2)c2ccc([N+](=O)[O-])cc2)cc1</t>
  </si>
  <si>
    <t>O=[N+]([O-])c1ccc(Cl)cc1.Nc1ccccc1</t>
  </si>
  <si>
    <t>H-4-T2-14</t>
  </si>
  <si>
    <t>O=[N+]([O-])c1ccc(N(c2ccc([N+](=O)[O-])cc2)c2ccc([N+](=O)[O-])cc2)cc1</t>
  </si>
  <si>
    <t>O=[N+]([O-])c1ccc(Cl)cc1.Nc1ccc([N+](=O)[O-])cc1</t>
  </si>
  <si>
    <t>H-6-T1-1</t>
  </si>
  <si>
    <t>H-6</t>
  </si>
  <si>
    <t>O=C1O[C@H]([C@@H](O)CO)C(O)=C1O</t>
  </si>
  <si>
    <t>O=S(=O)=[Cu](=O)=O</t>
  </si>
  <si>
    <t>O</t>
  </si>
  <si>
    <t>Oc1ccccc1</t>
  </si>
  <si>
    <t>[K+].[OH-]</t>
  </si>
  <si>
    <t>CS(C)=O</t>
  </si>
  <si>
    <t>Ic1ccccc1.O</t>
  </si>
  <si>
    <t>H-6-T1-2</t>
  </si>
  <si>
    <t>trace:use_0_to_replace_trace</t>
  </si>
  <si>
    <t>H-6-T1-3</t>
  </si>
  <si>
    <t>CC(=O)CC(C)=O</t>
  </si>
  <si>
    <t>H-6-T1-4</t>
  </si>
  <si>
    <t>O=C(CC(=O)c1ccccc1)c1ccccc1</t>
  </si>
  <si>
    <t>H-6-T1-7</t>
  </si>
  <si>
    <t>CC(C)(C)[O-].[Na+]</t>
  </si>
  <si>
    <t>H-6-T1-9</t>
  </si>
  <si>
    <t>O=P([O-])([O-])[O-].[K+].[K+].[K+]</t>
  </si>
  <si>
    <t>H-6-T1-10</t>
  </si>
  <si>
    <t>[Na+].[OH-]</t>
  </si>
  <si>
    <t>H-6-T1-11</t>
  </si>
  <si>
    <t>H-6-T1-12</t>
  </si>
  <si>
    <t>H-6-T1-14</t>
  </si>
  <si>
    <t>H-6-T1-15</t>
  </si>
  <si>
    <t>C[C@@H](N)C(=O)O</t>
  </si>
  <si>
    <t>H-6-T1-16</t>
  </si>
  <si>
    <t>CN(C)CCN(C)C</t>
  </si>
  <si>
    <t>H-6-S1-2a-1</t>
  </si>
  <si>
    <t>H-6-S1-2a-2</t>
  </si>
  <si>
    <t>Brc1ccccc1.O</t>
  </si>
  <si>
    <t>H-6-S1-2a-3</t>
  </si>
  <si>
    <t>Clc1ccccc1.O</t>
  </si>
  <si>
    <t>H-6-S1-2b</t>
  </si>
  <si>
    <t>Cc1ccc(I)cc1</t>
  </si>
  <si>
    <t>Cc1ccc(O)cc1</t>
  </si>
  <si>
    <t>Cc1ccc(I)cc1.O</t>
  </si>
  <si>
    <t>H-6-S1-2c</t>
  </si>
  <si>
    <t>COc1ccc(I)cc1</t>
  </si>
  <si>
    <t>COc1ccc(O)cc1</t>
  </si>
  <si>
    <t>COc1ccc(I)cc1.O</t>
  </si>
  <si>
    <t>H-6-S1-2d-1</t>
  </si>
  <si>
    <t>Clc1ccc(I)cc1</t>
  </si>
  <si>
    <t>Oc1ccc(Cl)cc1</t>
  </si>
  <si>
    <t>Clc1ccc(I)cc1.O</t>
  </si>
  <si>
    <t>H-6-S1-2d-2</t>
  </si>
  <si>
    <t>Clc1ccc(Br)cc1</t>
  </si>
  <si>
    <t>Clc1ccc(Br)cc1.O</t>
  </si>
  <si>
    <t>H-6-S1-2e</t>
  </si>
  <si>
    <t>Brc1ccc(I)cc1</t>
  </si>
  <si>
    <t>Oc1ccc(Br)cc1</t>
  </si>
  <si>
    <t>Brc1ccc(I)cc1.O</t>
  </si>
  <si>
    <t>H-6-S1-2f</t>
  </si>
  <si>
    <t>Brc1cccc2ccccc12</t>
  </si>
  <si>
    <t>Oc1cccc2ccccc12</t>
  </si>
  <si>
    <t>Brc1cccc2ccccc12.O</t>
  </si>
  <si>
    <t>H-6-S1-2g</t>
  </si>
  <si>
    <t>Cc1cccc(Br)c1</t>
  </si>
  <si>
    <t>Cc1cccc(O)c1</t>
  </si>
  <si>
    <t>Cc1cccc(Br)c1.O</t>
  </si>
  <si>
    <t>H-6-S1-2h</t>
  </si>
  <si>
    <t>O=C(O)c1ccc(I)cc1</t>
  </si>
  <si>
    <t>O=C(O)c1ccc(O)cc1</t>
  </si>
  <si>
    <t>O=C(O)c1ccc(I)cc1.O</t>
  </si>
  <si>
    <t>H-6-S1-2i</t>
  </si>
  <si>
    <t>O=C(O)c1cccc(I)c1</t>
  </si>
  <si>
    <t>O=C(O)c1cccc(O)c1</t>
  </si>
  <si>
    <t>O=C(O)c1cccc(I)c1.O</t>
  </si>
  <si>
    <t>H-6-S1-2j-1</t>
  </si>
  <si>
    <t>O=[N+]([O-])c1cccc(Br)c1</t>
  </si>
  <si>
    <t>O=[N+]([O-])c1cccc(O)c1</t>
  </si>
  <si>
    <t>O=[N+]([O-])c1cccc(Br)c1.O</t>
  </si>
  <si>
    <t>H-6-S1-2j-2</t>
  </si>
  <si>
    <t>O=[N+]([O-])c1cccc(Cl)c1</t>
  </si>
  <si>
    <t>O=[N+]([O-])c1cccc(Cl)c1.O</t>
  </si>
  <si>
    <t>H-6-S1-2k</t>
  </si>
  <si>
    <t>Cc1ccccc1I</t>
  </si>
  <si>
    <t>Cc1ccccc1O</t>
  </si>
  <si>
    <t>Cc1ccccc1I.O</t>
  </si>
  <si>
    <t>H-6-S1-2l</t>
  </si>
  <si>
    <t>O=[N+]([O-])c1ccccc1Cl</t>
  </si>
  <si>
    <t>O=[N+]([O-])c1ccccc1O</t>
  </si>
  <si>
    <t>O=[N+]([O-])c1ccccc1Cl.O</t>
  </si>
  <si>
    <t>H-6-S1-2m</t>
  </si>
  <si>
    <t>O=[N+]([O-])c1ccc(O)cc1</t>
  </si>
  <si>
    <t>O=[N+]([O-])c1ccc(Cl)cc1.O</t>
  </si>
  <si>
    <t>H-6-S2-3a-1</t>
  </si>
  <si>
    <t>COc1ccc(Oc2ccccc2)cc1</t>
  </si>
  <si>
    <t>O=C([O-])[O-].[Cs+].[Cs+]</t>
  </si>
  <si>
    <t>Ic1ccccc1.COc1ccc(O)cc1</t>
  </si>
  <si>
    <t>H-6-S2-3a-2</t>
  </si>
  <si>
    <t>Brc1ccccc1.COc1ccc(O)cc1</t>
  </si>
  <si>
    <t>H-6-S2-3a-3</t>
  </si>
  <si>
    <t>Clc1ccccc1.COc1ccc(O)cc1</t>
  </si>
  <si>
    <t>H-6-S2-3b</t>
  </si>
  <si>
    <t>Cc1ccc(Oc2ccccc2)cc1</t>
  </si>
  <si>
    <t>Ic1ccccc1.Cc1ccc(O)cc1</t>
  </si>
  <si>
    <t>H-6-S2-3c</t>
  </si>
  <si>
    <t>COc1ccc(Oc2ccc(C)cc2)cc1</t>
  </si>
  <si>
    <t>Cc1ccc(I)cc1.COc1ccc(O)cc1</t>
  </si>
  <si>
    <t>H-6-S2-3d</t>
  </si>
  <si>
    <t>COc1ccc(Oc2ccc(Cl)cc2)cc1</t>
  </si>
  <si>
    <t>Clc1ccc(I)cc1.COc1ccc(O)cc1</t>
  </si>
  <si>
    <t>H-6-S2-3e</t>
  </si>
  <si>
    <t>COc1ccc(Oc2ccc(Br)cc2)cc1</t>
  </si>
  <si>
    <t>Brc1ccc(I)cc1.COc1ccc(O)cc1</t>
  </si>
  <si>
    <t>H-6-S2-3f</t>
  </si>
  <si>
    <t>c1ccc(Oc2ccccc2)cc1</t>
  </si>
  <si>
    <t>Ic1ccccc1.Oc1ccccc1</t>
  </si>
  <si>
    <t>H-6-S2-3g</t>
  </si>
  <si>
    <t>COc1ccc(Oc2ccc(OC)cc2)cc1</t>
  </si>
  <si>
    <t>COc1ccc(I)cc1.COc1ccc(O)cc1</t>
  </si>
  <si>
    <t>H-6-S2-3h</t>
  </si>
  <si>
    <t>COc1ccc(Oc2ccccc2C)cc1</t>
  </si>
  <si>
    <t>Cc1ccccc1I.COc1ccc(O)cc1</t>
  </si>
  <si>
    <t>H-6-S2-3i</t>
  </si>
  <si>
    <t>COc1ccc(Oc2cccc([N+](=O)[O-])c2)cc1</t>
  </si>
  <si>
    <t>O=[N+]([O-])c1cccc(Br)c1.COc1ccc(O)cc1</t>
  </si>
  <si>
    <t>H-6-S2-3j</t>
  </si>
  <si>
    <t>CCBr</t>
  </si>
  <si>
    <t>COc1ccccc1O</t>
  </si>
  <si>
    <t>CCOc1ccccc1OC</t>
  </si>
  <si>
    <t>CCBr.COc1ccccc1O</t>
  </si>
  <si>
    <t>H-6-S2-3k</t>
  </si>
  <si>
    <t>CCCCCCBr</t>
  </si>
  <si>
    <t>CCCCCCOc1ccccc1OC</t>
  </si>
  <si>
    <t>CCCCCCBr.COc1ccccc1O</t>
  </si>
  <si>
    <t>H-6-S2-3l</t>
  </si>
  <si>
    <t>CCCCCCCCBr</t>
  </si>
  <si>
    <t>CCCCCCCCOc1ccccc1C</t>
  </si>
  <si>
    <t>CCCCCCCCBr.Cc1ccccc1O</t>
  </si>
  <si>
    <t>H-6-S2-3m</t>
  </si>
  <si>
    <t>CCCCCCCCOc1ccccc1OC</t>
  </si>
  <si>
    <t>CCCCCCCCBr.COc1ccccc1O</t>
  </si>
  <si>
    <t>H-6-S2-3n</t>
  </si>
  <si>
    <t>CCCCCCCBr</t>
  </si>
  <si>
    <t>CCCCCCCOc1ccccc1OC</t>
  </si>
  <si>
    <t>CCCCCCCBr.COc1ccccc1O</t>
  </si>
  <si>
    <t>H-6-S2-3o</t>
  </si>
  <si>
    <t>CCCCCCOc1ccccc1</t>
  </si>
  <si>
    <t>CCCCCCBr.Oc1ccccc1</t>
  </si>
  <si>
    <t>H-6-S2-3p</t>
  </si>
  <si>
    <t>CCCCCCCCOc1ccccc1</t>
  </si>
  <si>
    <t>CCCCCCCCBr.Oc1ccccc1</t>
  </si>
  <si>
    <t>H-6-S2-3q</t>
  </si>
  <si>
    <t>CCCCCCCCOc1ccc(C)cc1</t>
  </si>
  <si>
    <t>CCCCCCCCBr.Cc1ccc(O)cc1</t>
  </si>
  <si>
    <t>H-6-S2-3r</t>
  </si>
  <si>
    <t>CCOc1ccc(OC)cc1</t>
  </si>
  <si>
    <t>CCBr.COc1ccc(O)cc1</t>
  </si>
  <si>
    <t>H-6-S2-3s</t>
  </si>
  <si>
    <t>CCCCCCCCOc1ccc(OC)cc1</t>
  </si>
  <si>
    <t>CCCCCCCCBr.COc1ccc(O)cc1</t>
  </si>
  <si>
    <t>H-6-S2-3t</t>
  </si>
  <si>
    <t>CCCCCCOc1ccc(OC)cc1</t>
  </si>
  <si>
    <t>CCCCCCBr.COc1ccc(O)cc1</t>
  </si>
  <si>
    <t>H-6-S2-3u</t>
  </si>
  <si>
    <t>CCCCCCOc1ccc([N+](=O)[O-])cc1</t>
  </si>
  <si>
    <t>CCCCCCBr.O=[N+]([O-])c1ccc(O)cc1</t>
  </si>
  <si>
    <t>H-6-S2-3v</t>
  </si>
  <si>
    <t>CC(C)(C)c1ccc(O)cc1</t>
  </si>
  <si>
    <t>CCCCCCOc1ccc(C(C)(C)C)cc1</t>
  </si>
  <si>
    <t>CCCCCCBr.CC(C)(C)c1ccc(O)cc1</t>
  </si>
  <si>
    <t>H-6-S2-3w</t>
  </si>
  <si>
    <t>CCCCCCCOc1ccc(OC)cc1</t>
  </si>
  <si>
    <t>CCCCCCCBr.COc1ccc(O)cc1</t>
  </si>
  <si>
    <t>H-6-S2-3x</t>
  </si>
  <si>
    <t>CCCCCCOc1ccc(Br)cc1</t>
  </si>
  <si>
    <t>CCCCCCBr.Oc1ccc(Br)cc1</t>
  </si>
  <si>
    <t>H-6-S2-3y</t>
  </si>
  <si>
    <t>Oc1ccc(Cl)cc1Cl</t>
  </si>
  <si>
    <t>CCCCCCOc1ccc(Cl)cc1Cl</t>
  </si>
  <si>
    <t>CCCCCCBr.Oc1ccc(Cl)cc1Cl</t>
  </si>
  <si>
    <t>H-6-S2-3z</t>
  </si>
  <si>
    <t>BrC1CCCC1</t>
  </si>
  <si>
    <t>COc1ccc(OC2CCCC2)cc1</t>
  </si>
  <si>
    <t>BrC1CCCC1.COc1ccc(O)cc1</t>
  </si>
  <si>
    <t>H-6-S2-3za</t>
  </si>
  <si>
    <t>Cc1ccc(OC2CCCC2)cc1</t>
  </si>
  <si>
    <t>BrC1CCCC1.Cc1ccc(O)cc1</t>
  </si>
  <si>
    <t>H-6-S2-3zb</t>
  </si>
  <si>
    <t>H-6-S3-4a</t>
  </si>
  <si>
    <t>Cc1ccc(S)cc1</t>
  </si>
  <si>
    <t>Cc1ccc(Sc2ccc(Cl)cc2)cc1</t>
  </si>
  <si>
    <t>Clc1ccc(I)cc1.Cc1ccc(S)cc1</t>
  </si>
  <si>
    <t>H-6-S3-4b</t>
  </si>
  <si>
    <t>Cc1ccc(Sc2ccc(Br)cc2)cc1</t>
  </si>
  <si>
    <t>Brc1ccc(I)cc1.Cc1ccc(S)cc1</t>
  </si>
  <si>
    <t>H-6-S3-4c</t>
  </si>
  <si>
    <t>Cc1ccc(Sc2ccc(C)cc2)cc1</t>
  </si>
  <si>
    <t>Cc1ccc(I)cc1.Cc1ccc(S)cc1</t>
  </si>
  <si>
    <t>H-6-S3-4d</t>
  </si>
  <si>
    <t>Cc1ccc(Sc2ccccc2C)cc1</t>
  </si>
  <si>
    <t>Cc1ccccc1I.Cc1ccc(S)cc1</t>
  </si>
  <si>
    <t>H-6-S3-4e</t>
  </si>
  <si>
    <t>O=Cc1ccc(Br)cc1</t>
  </si>
  <si>
    <t>Cc1ccc(Sc2ccc(C=O)cc2)cc1</t>
  </si>
  <si>
    <t>O=Cc1ccc(Br)cc1.Cc1ccc(S)cc1</t>
  </si>
  <si>
    <t>H-6-S3-4f</t>
  </si>
  <si>
    <t>COc1ccc(Sc2ccc(C)cc2)cc1</t>
  </si>
  <si>
    <t>COc1ccc(I)cc1.Cc1ccc(S)cc1</t>
  </si>
  <si>
    <t>H-6-S3-4g</t>
  </si>
  <si>
    <t>Cc1ccc(Sc2ccc([N+](=O)[O-])cc2)cc1</t>
  </si>
  <si>
    <t>O=[N+]([O-])c1ccc(Cl)cc1.Cc1ccc(S)cc1</t>
  </si>
  <si>
    <t>H-6-S3-4h</t>
  </si>
  <si>
    <t>CC(=O)c1ccc(Br)cc1</t>
  </si>
  <si>
    <t>CC(=O)c1ccc(Sc2ccc(C)cc2)cc1</t>
  </si>
  <si>
    <t>CC(=O)c1ccc(Br)cc1.Cc1ccc(S)cc1</t>
  </si>
  <si>
    <t>H-7-T1-1</t>
  </si>
  <si>
    <t>H-7</t>
  </si>
  <si>
    <t>CC(=O)C1CCCc2cccnc21</t>
  </si>
  <si>
    <t>[Cu]Br</t>
  </si>
  <si>
    <t>c1c[nH]cn1</t>
  </si>
  <si>
    <t>c1ccc(-n2ccnc2)cc1</t>
  </si>
  <si>
    <t>use_less_figure:times_0.5</t>
  </si>
  <si>
    <t>Ic1ccccc1.c1c[nH]cn1</t>
  </si>
  <si>
    <t>H-7-T1-3</t>
  </si>
  <si>
    <t>H-7-T1-4</t>
  </si>
  <si>
    <t>H-7-T1-5</t>
  </si>
  <si>
    <t>CC(=O)Cc1ccccn1</t>
  </si>
  <si>
    <t>H-7-T1-6</t>
  </si>
  <si>
    <t>H-7-T1-7</t>
  </si>
  <si>
    <t>[Cu]Cl</t>
  </si>
  <si>
    <t>H-7-T1-8</t>
  </si>
  <si>
    <t>CC#N</t>
  </si>
  <si>
    <t>H-7-T1-9</t>
  </si>
  <si>
    <t>CC(C)O</t>
  </si>
  <si>
    <t>H-7-T1-10</t>
  </si>
  <si>
    <t>H-7-T1-11</t>
  </si>
  <si>
    <t>CN(C)C=O</t>
  </si>
  <si>
    <t>H-7-T1-12</t>
  </si>
  <si>
    <t>O=C([O-])[O-].[Na+].[Na+]</t>
  </si>
  <si>
    <t>H-7-T1-13</t>
  </si>
  <si>
    <t>O=C([O-])[O-].[K+].[K+]</t>
  </si>
  <si>
    <t>H-7-T1-14</t>
  </si>
  <si>
    <t>H-7-T1-15</t>
  </si>
  <si>
    <t>CCN(CC)CC</t>
  </si>
  <si>
    <t>H-7-T2-1</t>
  </si>
  <si>
    <t>Cc1ccc(-n2ccnc2)cc1</t>
  </si>
  <si>
    <t>Cc1ccc(I)cc1.c1c[nH]cn1</t>
  </si>
  <si>
    <t>H-7-T2-2</t>
  </si>
  <si>
    <t>COc1ccccc1I</t>
  </si>
  <si>
    <t>COc1ccccc1-n1ccnc1</t>
  </si>
  <si>
    <t>COc1ccccc1I.c1c[nH]cn1</t>
  </si>
  <si>
    <t>H-7-T2-3</t>
  </si>
  <si>
    <t>Brc1ccc(-n2ccnc2)cc1</t>
  </si>
  <si>
    <t>Brc1ccc(I)cc1.c1c[nH]cn1</t>
  </si>
  <si>
    <t>H-7-T2-4</t>
  </si>
  <si>
    <t>Ic1ccc(-c2ccccc2)cc1</t>
  </si>
  <si>
    <t>c1ccc(-c2ccc(-n3ccnc3)cc2)cc1</t>
  </si>
  <si>
    <t>Ic1ccc(-c2ccccc2)cc1.c1c[nH]cn1</t>
  </si>
  <si>
    <t>H-7-T2-5</t>
  </si>
  <si>
    <t>Brc1ccccc1.c1c[nH]cn1</t>
  </si>
  <si>
    <t>H-7-T2-6</t>
  </si>
  <si>
    <t>Cc1cccc(-n2ccnc2)c1</t>
  </si>
  <si>
    <t>Cc1cccc(Br)c1.c1c[nH]cn1</t>
  </si>
  <si>
    <t>H-7-T2-7</t>
  </si>
  <si>
    <t>COc1cccc(Br)c1</t>
  </si>
  <si>
    <t>COc1cccc(-n2ccnc2)c1</t>
  </si>
  <si>
    <t>COc1cccc(Br)c1.c1c[nH]cn1</t>
  </si>
  <si>
    <t>H-7-T2-8</t>
  </si>
  <si>
    <t>COc1ccc(-n2ccnc2)cc1</t>
  </si>
  <si>
    <t>COc1ccc(I)cc1.c1c[nH]cn1</t>
  </si>
  <si>
    <t>H-7-T2-9</t>
  </si>
  <si>
    <t>Fc1ccc(Oc2cccc(Br)c2)cc1</t>
  </si>
  <si>
    <t>Fc1ccc(Oc2cccc(-n3ccnc3)c2)cc1</t>
  </si>
  <si>
    <t>Fc1ccc(Oc2cccc(Br)c2)cc1.c1c[nH]cn1</t>
  </si>
  <si>
    <t>H-7-T2-10</t>
  </si>
  <si>
    <t>FC(F)(F)c1cc(Br)ccc1Cl</t>
  </si>
  <si>
    <t>FC(F)(F)c1cc(-n2ccnc2)ccc1Cl</t>
  </si>
  <si>
    <t>FC(F)(F)c1cc(Br)ccc1Cl.c1c[nH]cn1</t>
  </si>
  <si>
    <t>H-7-T2-11</t>
  </si>
  <si>
    <t>Nc1cc(Br)cc(C(F)(F)F)c1</t>
  </si>
  <si>
    <t>Nc1cc(-n2ccnc2)cc(C(F)(F)F)c1</t>
  </si>
  <si>
    <t>Nc1cc(Br)cc(C(F)(F)F)c1.c1c[nH]cn1</t>
  </si>
  <si>
    <t>H-7-T2-12</t>
  </si>
  <si>
    <t>CC(=O)c1ccc(-n2ccnc2)cc1</t>
  </si>
  <si>
    <t>CC(=O)c1ccc(Br)cc1.c1c[nH]cn1</t>
  </si>
  <si>
    <t>H-7-T2-13</t>
  </si>
  <si>
    <t>N#Cc1ccc(Br)cc1</t>
  </si>
  <si>
    <t>N#Cc1ccc(-n2ccnc2)cc1</t>
  </si>
  <si>
    <t>N#Cc1ccc(Br)cc1.c1c[nH]cn1</t>
  </si>
  <si>
    <t>H-7-T2-14</t>
  </si>
  <si>
    <t>Oc1ccc(-n2ccnc2)cc1</t>
  </si>
  <si>
    <t>Oc1ccc(Br)cc1.c1c[nH]cn1</t>
  </si>
  <si>
    <t>H-7-T2-15</t>
  </si>
  <si>
    <t>Nc1ccc(Br)cc1</t>
  </si>
  <si>
    <t>Nc1ccc(-n2ccnc2)cc1</t>
  </si>
  <si>
    <t>Nc1ccc(Br)cc1.c1c[nH]cn1</t>
  </si>
  <si>
    <t>H-7-T2-16</t>
  </si>
  <si>
    <t>OCc1ccc(Br)cc1</t>
  </si>
  <si>
    <t>OCc1ccc(-n2ccnc2)cc1</t>
  </si>
  <si>
    <t>OCc1ccc(Br)cc1.c1c[nH]cn1</t>
  </si>
  <si>
    <t>H-7-T2-17</t>
  </si>
  <si>
    <t>c1ccc2c(-n3ccnc3)cccc2c1</t>
  </si>
  <si>
    <t>Brc1cccc2ccccc12.c1c[nH]cn1</t>
  </si>
  <si>
    <t>H-7-T2-18</t>
  </si>
  <si>
    <t>Clc1ccccc1.c1c[nH]cn1</t>
  </si>
  <si>
    <t>H-7-T2-19</t>
  </si>
  <si>
    <t>Brc1ccc(CN2CCOCC2)nc1</t>
  </si>
  <si>
    <t>c1cn(-c2ccc(CN3CCOCC3)nc2)cn1</t>
  </si>
  <si>
    <t>Brc1ccc(CN2CCOCC2)nc1.c1c[nH]cn1</t>
  </si>
  <si>
    <t>H-7-T2-20</t>
  </si>
  <si>
    <t>Clc1cnc(Br)nc1</t>
  </si>
  <si>
    <t>Clc1cnc(-n2ccnc2)nc1</t>
  </si>
  <si>
    <t>Clc1cnc(Br)nc1.c1c[nH]cn1</t>
  </si>
  <si>
    <t>H-7-T2-21</t>
  </si>
  <si>
    <t>Brc1cccnc1</t>
  </si>
  <si>
    <t>c1cncc(-n2ccnc2)c1</t>
  </si>
  <si>
    <t>Brc1cccnc1.c1c[nH]cn1</t>
  </si>
  <si>
    <t>H-7-T2-22</t>
  </si>
  <si>
    <t>COc1ccc(Br)cn1</t>
  </si>
  <si>
    <t>COc1ccc(-n2ccnc2)cn1</t>
  </si>
  <si>
    <t>COc1ccc(Br)cn1.c1c[nH]cn1</t>
  </si>
  <si>
    <t>H-7-T2-23</t>
  </si>
  <si>
    <t>Cc1ncccc1Br</t>
  </si>
  <si>
    <t>Cc1ncccc1-n1ccnc1</t>
  </si>
  <si>
    <t>Cc1ncccc1Br.c1c[nH]cn1</t>
  </si>
  <si>
    <t>H-7-T2-24</t>
  </si>
  <si>
    <t>Brc1ccc(Br)nc1</t>
  </si>
  <si>
    <t>Brc1ccc(-n2ccnc2)nc1</t>
  </si>
  <si>
    <t>Brc1ccc(Br)nc1.c1c[nH]cn1</t>
  </si>
  <si>
    <t>H-7-T3-1</t>
  </si>
  <si>
    <t>c1nc[nH]n1</t>
  </si>
  <si>
    <t>c1ccc(-n2cncn2)cc1</t>
  </si>
  <si>
    <t>Ic1ccccc1.c1nc[nH]n1</t>
  </si>
  <si>
    <t>H-7-T3-2</t>
  </si>
  <si>
    <t>c1ccc(-c2ccc(-n3cncn3)cc2)cc1</t>
  </si>
  <si>
    <t>Ic1ccc(-c2ccccc2)cc1.c1nc[nH]n1</t>
  </si>
  <si>
    <t>H-7-T3-3</t>
  </si>
  <si>
    <t>c1ccc2[nH]cnc2c1</t>
  </si>
  <si>
    <t>N#Cc1ccc(-n2cnc3ccccc32)cc1</t>
  </si>
  <si>
    <t>N#Cc1ccc(Br)cc1.c1ccc2[nH]cnc2c1</t>
  </si>
  <si>
    <t>H-7-T3-4</t>
  </si>
  <si>
    <t>Cc1ncc[nH]1</t>
  </si>
  <si>
    <t>Cc1nccn1-c1ccccc1</t>
  </si>
  <si>
    <t>Brc1ccccc1.Cc1ncc[nH]1</t>
  </si>
  <si>
    <t>H-7-T3-5</t>
  </si>
  <si>
    <t>CCCc1ncc[nH]1</t>
  </si>
  <si>
    <t>CCCc1nccn1-c1ccccc1</t>
  </si>
  <si>
    <t>Brc1ccccc1.CCCc1ncc[nH]1</t>
  </si>
  <si>
    <t>H-7-T3-6</t>
  </si>
  <si>
    <t>Cc1c[nH]cn1</t>
  </si>
  <si>
    <t>Cc1cn(-c2cc(N)cc(C(F)(F)F)c2)cn1</t>
  </si>
  <si>
    <t>Nc1cc(Br)cc(C(F)(F)F)c1.Cc1c[nH]cn1</t>
  </si>
  <si>
    <t>H-7-T3-7</t>
  </si>
  <si>
    <t>Cc1cn[nH]c1</t>
  </si>
  <si>
    <t>Cc1cnn(-c2cc(N)cc(C(F)(F)F)c2)c1</t>
  </si>
  <si>
    <t>Nc1cc(Br)cc(C(F)(F)F)c1.Cc1cn[nH]c1</t>
  </si>
  <si>
    <t>H-7-T3-8</t>
  </si>
  <si>
    <t>Clc1ccc(Oc2cccc(Br)c2)cc1</t>
  </si>
  <si>
    <t>Cc1nccn1-c1cccc(Oc2ccc(Cl)cc2)c1</t>
  </si>
  <si>
    <t>Clc1ccc(Oc2cccc(Br)c2)cc1.Cc1ncc[nH]1</t>
  </si>
  <si>
    <t>H-8-T1-3</t>
  </si>
  <si>
    <t>H-8</t>
  </si>
  <si>
    <t>CC(=O)CC(C)=Nc1ccc(F)cc1</t>
  </si>
  <si>
    <t>CC(C)(C)[O-].[K+]</t>
  </si>
  <si>
    <t>H-8-T1-4</t>
  </si>
  <si>
    <t>H-8-T1-5</t>
  </si>
  <si>
    <t>H-8-T1-6</t>
  </si>
  <si>
    <t>[Cu][Cu]=O</t>
  </si>
  <si>
    <t>H-8-T1-7</t>
  </si>
  <si>
    <t>H-8-T1-8</t>
  </si>
  <si>
    <t>H-8-T1-9</t>
  </si>
  <si>
    <t>H-8-T1-10</t>
  </si>
  <si>
    <t>H-8-T1-11</t>
  </si>
  <si>
    <t>H-8-T1-12</t>
  </si>
  <si>
    <t>H-8-T1-13</t>
  </si>
  <si>
    <t>H-8-T1-14</t>
  </si>
  <si>
    <t>CC(CC(C)=Nc1ccc(F)cc1)=Nc1ccc(F)cc1</t>
  </si>
  <si>
    <t>H-8-T1-15</t>
  </si>
  <si>
    <t>CC(CC(C)=Nc1ccc(Cl)cc1)=Nc1ccc(Cl)cc1</t>
  </si>
  <si>
    <t>H-8-T1-16</t>
  </si>
  <si>
    <t>CC(CC(C)=Nc1ccccc1C)=Nc1ccccc1C</t>
  </si>
  <si>
    <t>H-8-T1-17</t>
  </si>
  <si>
    <t>CC(CC(C)=Nc1ccc(F)cc1F)=Nc1ccc(F)cc1F</t>
  </si>
  <si>
    <t>H-8-T1-18</t>
  </si>
  <si>
    <t>CC(CC(C)=Nc1c(C)cccc1C)=Nc1c(C)cccc1C</t>
  </si>
  <si>
    <t>H-8-T1-19</t>
  </si>
  <si>
    <t>CC(CC(C)=Nc1c(C(C)C)cccc1C(C)C)=Nc1c(C(C)C)cccc1C(C)C</t>
  </si>
  <si>
    <t>H-8-T1-20</t>
  </si>
  <si>
    <t>H-8-T1-21</t>
  </si>
  <si>
    <t>H-8-T2-1</t>
  </si>
  <si>
    <t>H-8-T2-2</t>
  </si>
  <si>
    <t>Cc1ccccc1Br</t>
  </si>
  <si>
    <t>Cc1ccccc1-n1ccnc1</t>
  </si>
  <si>
    <t>Cc1ccccc1Br.c1c[nH]cn1</t>
  </si>
  <si>
    <t>H-8-T2-3</t>
  </si>
  <si>
    <t>Cc1ccc(Br)cc1</t>
  </si>
  <si>
    <t>Cc1ccc(Br)cc1.c1c[nH]cn1</t>
  </si>
  <si>
    <t>H-8-T2-4</t>
  </si>
  <si>
    <t>COc1ccc(Br)cc1.c1c[nH]cn1</t>
  </si>
  <si>
    <t>H-8-T2-5</t>
  </si>
  <si>
    <t>H-8-T2-6</t>
  </si>
  <si>
    <t>COc1ccccc1Br</t>
  </si>
  <si>
    <t>COc1ccccc1Br.c1c[nH]cn1</t>
  </si>
  <si>
    <t>H-8-T2-7</t>
  </si>
  <si>
    <t>H-8-T2-8</t>
  </si>
  <si>
    <t>H-8-T2-9</t>
  </si>
  <si>
    <t>CN(C)c1ccc(Br)cc1</t>
  </si>
  <si>
    <t>CN(C)c1ccc(-n2ccnc2)cc1</t>
  </si>
  <si>
    <t>CN(C)c1ccc(Br)cc1.c1c[nH]cn1</t>
  </si>
  <si>
    <t>H-8-T2-10</t>
  </si>
  <si>
    <t>Clc1ccc(-n2ccnc2)cc1</t>
  </si>
  <si>
    <t>Clc1ccc(Br)cc1.c1c[nH]cn1</t>
  </si>
  <si>
    <t>H-8-T2-11-1</t>
  </si>
  <si>
    <t>O=[N+]([O-])c1ccc(Br)cc1</t>
  </si>
  <si>
    <t>O=[N+]([O-])c1ccc(-n2ccnc2)cc1</t>
  </si>
  <si>
    <t>O=[N+]([O-])c1ccc(Br)cc1.c1c[nH]cn1</t>
  </si>
  <si>
    <t>H-8-T2-11-2</t>
  </si>
  <si>
    <t>H-8-T2-12-1</t>
  </si>
  <si>
    <t>H-8-T2-12-2</t>
  </si>
  <si>
    <t>H-8-T2-13</t>
  </si>
  <si>
    <t>H-8-T2-14</t>
  </si>
  <si>
    <t>c1cc[nH]c1</t>
  </si>
  <si>
    <t>c1ccc(-n2cccc2)cc1</t>
  </si>
  <si>
    <t>Ic1ccccc1.c1cc[nH]c1</t>
  </si>
  <si>
    <t>H-8-T2-15</t>
  </si>
  <si>
    <t>Brc1ccccc1.c1cc[nH]c1</t>
  </si>
  <si>
    <t>H-8-T2-16</t>
  </si>
  <si>
    <t>c1ccc2[nH]ccc2c1</t>
  </si>
  <si>
    <t>c1ccc(-n2ccc3ccccc32)cc1</t>
  </si>
  <si>
    <t>Ic1ccccc1.c1ccc2[nH]ccc2c1</t>
  </si>
  <si>
    <t>H-8-T2-17</t>
  </si>
  <si>
    <t>Brc1ccccc1.c1ccc2[nH]ccc2c1</t>
  </si>
  <si>
    <t>H-10-T1-1</t>
  </si>
  <si>
    <t>H-10</t>
  </si>
  <si>
    <t>O=C(NNc1ccccc1)c1ccccc1</t>
  </si>
  <si>
    <t>H-10-T1-2</t>
  </si>
  <si>
    <t>H-10-T1-3</t>
  </si>
  <si>
    <t>H-10-T1-4</t>
  </si>
  <si>
    <t>[Cu]</t>
  </si>
  <si>
    <t>H-10-T1-5</t>
  </si>
  <si>
    <t>O=C(NNc1ccccc1)C1CCCCC1</t>
  </si>
  <si>
    <t>H-10-T1-6</t>
  </si>
  <si>
    <t>H-10-T1-7</t>
  </si>
  <si>
    <t>H-10-T1-8</t>
  </si>
  <si>
    <t>H-10-T1-9</t>
  </si>
  <si>
    <t>H-10-T1-10</t>
  </si>
  <si>
    <t>H-10-T1-11</t>
  </si>
  <si>
    <t>H-10-T1-12</t>
  </si>
  <si>
    <t>H-10-T1-13</t>
  </si>
  <si>
    <t>H-10-T1-14</t>
  </si>
  <si>
    <t>H-10-T1-15</t>
  </si>
  <si>
    <t>H-10-T1-16</t>
  </si>
  <si>
    <t>H-10-T1-17</t>
  </si>
  <si>
    <t>H-10-T1-18</t>
  </si>
  <si>
    <t>H-10-T1-19</t>
  </si>
  <si>
    <t>H-10-T1-20</t>
  </si>
  <si>
    <t>H-10-T1-21</t>
  </si>
  <si>
    <t>H-10-T2-1</t>
  </si>
  <si>
    <t>H-15</t>
  </si>
  <si>
    <t>H-16</t>
  </si>
  <si>
    <t>H-17</t>
  </si>
  <si>
    <t>H-18</t>
  </si>
  <si>
    <t>H-19</t>
  </si>
  <si>
    <t>H-20</t>
  </si>
  <si>
    <t>H-21</t>
  </si>
  <si>
    <t>H-22</t>
  </si>
  <si>
    <t>H-24</t>
  </si>
  <si>
    <t>H-25</t>
  </si>
  <si>
    <t>H-26</t>
  </si>
  <si>
    <t>H-30</t>
  </si>
  <si>
    <t>H-31</t>
  </si>
  <si>
    <t>H-32</t>
  </si>
  <si>
    <t>H-33</t>
  </si>
  <si>
    <t>H-35</t>
  </si>
  <si>
    <t>H-36</t>
  </si>
  <si>
    <t>H-37</t>
  </si>
  <si>
    <t>H-38</t>
  </si>
  <si>
    <t>H-40</t>
  </si>
  <si>
    <t>H-41</t>
  </si>
  <si>
    <t>H-42</t>
  </si>
  <si>
    <t>H-43</t>
  </si>
  <si>
    <t>H-44</t>
  </si>
  <si>
    <t>H-45</t>
  </si>
  <si>
    <t>H-48</t>
  </si>
  <si>
    <t>H-49</t>
  </si>
  <si>
    <t>H-51</t>
  </si>
  <si>
    <t>H-52</t>
  </si>
  <si>
    <t>H-53</t>
  </si>
  <si>
    <t>H-54</t>
  </si>
  <si>
    <t>H-59</t>
  </si>
  <si>
    <t>H-60</t>
  </si>
  <si>
    <t>H-61</t>
  </si>
  <si>
    <t>H-62</t>
  </si>
  <si>
    <t>H-63</t>
  </si>
  <si>
    <t>H-64</t>
  </si>
  <si>
    <t>H-65</t>
  </si>
  <si>
    <t>H-66</t>
  </si>
  <si>
    <t>H-68</t>
  </si>
  <si>
    <t>H-70</t>
  </si>
  <si>
    <t>H-71</t>
  </si>
  <si>
    <t>H-72</t>
  </si>
  <si>
    <t>H-73</t>
  </si>
  <si>
    <t>H-75</t>
  </si>
  <si>
    <t>H-76</t>
  </si>
  <si>
    <t>H-77</t>
  </si>
  <si>
    <t>H-78</t>
  </si>
  <si>
    <t>H-80</t>
  </si>
  <si>
    <t>H-81</t>
  </si>
  <si>
    <t>H-82</t>
  </si>
  <si>
    <t>H-83</t>
  </si>
  <si>
    <t>H-84</t>
  </si>
  <si>
    <t>H-85</t>
  </si>
  <si>
    <t>H-86</t>
  </si>
  <si>
    <t>H-87</t>
  </si>
  <si>
    <t>H-88</t>
  </si>
  <si>
    <t>H-91</t>
  </si>
  <si>
    <t>H-95</t>
  </si>
  <si>
    <t>H-98</t>
  </si>
  <si>
    <t>H-99</t>
  </si>
  <si>
    <t>H-102</t>
  </si>
  <si>
    <t>H-103</t>
  </si>
  <si>
    <t>H-104</t>
  </si>
  <si>
    <t>H-105</t>
  </si>
  <si>
    <t>Z-77</t>
  </si>
  <si>
    <t>Z-83</t>
  </si>
  <si>
    <t>Z-130</t>
  </si>
  <si>
    <t>Z-132</t>
  </si>
  <si>
    <t>Z-133</t>
  </si>
  <si>
    <t>Z-134</t>
  </si>
  <si>
    <t>Z-135</t>
  </si>
  <si>
    <t>Z-137</t>
  </si>
  <si>
    <t>Z-138</t>
  </si>
  <si>
    <t>Z-140</t>
  </si>
  <si>
    <t>Z-141</t>
  </si>
  <si>
    <t>Z-143</t>
  </si>
  <si>
    <t>Z-146</t>
  </si>
  <si>
    <t>Z-147</t>
  </si>
  <si>
    <t>Z-149</t>
  </si>
  <si>
    <t>Z-158</t>
  </si>
  <si>
    <t>Z-161</t>
  </si>
  <si>
    <t>Z-162</t>
  </si>
  <si>
    <t>Z-167</t>
  </si>
  <si>
    <t>Z-168</t>
  </si>
  <si>
    <t>Z-177</t>
  </si>
  <si>
    <t>Z-180</t>
  </si>
  <si>
    <t>Z-192</t>
  </si>
  <si>
    <t>Z-193</t>
  </si>
  <si>
    <t>Z-199</t>
  </si>
  <si>
    <t>Z-200</t>
  </si>
  <si>
    <t>Z-202</t>
  </si>
  <si>
    <t>Z-209</t>
  </si>
  <si>
    <t>Z-210</t>
  </si>
  <si>
    <t>Z-211</t>
  </si>
  <si>
    <t>Z-214</t>
  </si>
  <si>
    <t>Z-215</t>
  </si>
  <si>
    <t>Z-217</t>
  </si>
  <si>
    <t>Z-220</t>
  </si>
  <si>
    <t>Z-224</t>
  </si>
  <si>
    <t>Z-225</t>
  </si>
  <si>
    <t>Z-226</t>
  </si>
  <si>
    <t>Z-227</t>
  </si>
  <si>
    <t>Z-230</t>
  </si>
  <si>
    <t>Z-232</t>
  </si>
  <si>
    <t>Z-233</t>
  </si>
  <si>
    <t>Z-234</t>
  </si>
  <si>
    <t>Z-235</t>
  </si>
  <si>
    <t>Z-238</t>
  </si>
  <si>
    <t>Z-239</t>
  </si>
  <si>
    <t>Z-240</t>
  </si>
  <si>
    <t>Z-241</t>
  </si>
  <si>
    <t>Z-242</t>
  </si>
  <si>
    <t>month</t>
  </si>
  <si>
    <t>month</t>
    <phoneticPr fontId="2" type="noConversion"/>
  </si>
  <si>
    <t>doi</t>
  </si>
  <si>
    <t>doi</t>
    <phoneticPr fontId="2" type="noConversion"/>
  </si>
  <si>
    <t>10.1016/j.bmcl.2009.06.007</t>
  </si>
  <si>
    <t>未找到DOI</t>
  </si>
  <si>
    <t>10.1021/ja981662f</t>
  </si>
  <si>
    <t>10.1021/jo981804o</t>
  </si>
  <si>
    <t>10.1021/ol025839t</t>
  </si>
  <si>
    <t>10.1021/ol0273396</t>
  </si>
  <si>
    <t>10.1021/ol0346584</t>
  </si>
  <si>
    <t>10.1021/ol0350947</t>
  </si>
  <si>
    <t>10.1021/ol049706e</t>
  </si>
  <si>
    <t>10.1021/ol052113z</t>
  </si>
  <si>
    <t>10.1016/j.molcata.2006.05.005</t>
  </si>
  <si>
    <t>10.3390/molecules15031154</t>
  </si>
  <si>
    <t>10.1016/j.tetlet.2007.12.026</t>
  </si>
  <si>
    <t>10.1021/ol9010773</t>
  </si>
  <si>
    <t>10.1081/SCC-100105338</t>
  </si>
  <si>
    <t>10.1039/b308034j</t>
  </si>
  <si>
    <t>10.1021/ol0505555</t>
  </si>
  <si>
    <t>10.1039/b501939g</t>
  </si>
  <si>
    <t>10.1039/b501628b</t>
  </si>
  <si>
    <t>10.1021/om060456a</t>
  </si>
  <si>
    <t>10.1021/ol0700409</t>
  </si>
  <si>
    <t>10.1021/jo701599g</t>
  </si>
  <si>
    <t>10.1021/jo8008676</t>
  </si>
  <si>
    <t>10.1007/s12272-001-2151-9</t>
  </si>
  <si>
    <t>10.1021/ol8008792</t>
  </si>
  <si>
    <t>10.1021/om7012748</t>
  </si>
  <si>
    <t>10.1021/ol801545a</t>
  </si>
  <si>
    <t>10.1039/b905205d</t>
  </si>
  <si>
    <t>10.1021/jo900438e</t>
  </si>
  <si>
    <t>10.1021/jo900600m</t>
  </si>
  <si>
    <t>10.1021/ol9015578</t>
  </si>
  <si>
    <t>10.1039/b821212k</t>
  </si>
  <si>
    <t>10.1021/jo9012157</t>
  </si>
  <si>
    <t>10.1021/ol9026446</t>
  </si>
  <si>
    <t>10.1039/c0cc01544j</t>
  </si>
  <si>
    <t>10.1021/ol100707s</t>
  </si>
  <si>
    <t>10.1021/jo100345t</t>
  </si>
  <si>
    <t>10.1021/cs100086y</t>
  </si>
  <si>
    <t>10.1021/jo200508q</t>
  </si>
  <si>
    <t>10.1021/jo1021426</t>
  </si>
  <si>
    <t>10.1039/c1cc13516c</t>
  </si>
  <si>
    <t>10.1039/c1cc10383k</t>
  </si>
  <si>
    <t>10.1021/ol2016737</t>
  </si>
  <si>
    <t>10.1021/ol200465z</t>
  </si>
  <si>
    <t>10.1021/jo3014275</t>
  </si>
  <si>
    <t>10.1021/ol301307x</t>
  </si>
  <si>
    <t>10.1039/c2ob07063d</t>
  </si>
  <si>
    <t>10.1021/ja301013h</t>
  </si>
  <si>
    <t>10.1021/jo300916s</t>
  </si>
  <si>
    <t>10.1021/jo202018w</t>
  </si>
  <si>
    <t>10.3762/bjoc.8.122</t>
  </si>
  <si>
    <t>10.1021/ol302962p</t>
  </si>
  <si>
    <t>10.1039/c2cc36403d</t>
  </si>
  <si>
    <t>10.1021/ol402096k</t>
  </si>
  <si>
    <t>10.1039/c2cc37891d</t>
  </si>
  <si>
    <t>10.1021/jo401353w</t>
  </si>
  <si>
    <t>10.1021/ja4060806</t>
  </si>
  <si>
    <t>10.1039/c4cc03420a</t>
  </si>
  <si>
    <t>10.1039/c4ob00309h</t>
  </si>
  <si>
    <t>10.1021/ol502371j</t>
  </si>
  <si>
    <t>10.1039/c4ob00400k</t>
  </si>
  <si>
    <t>10.1021/ja502174d</t>
  </si>
  <si>
    <t>10.1039/c3cc49107b</t>
  </si>
  <si>
    <t>10.1007/s11030-015-9622-2</t>
  </si>
  <si>
    <t>10.1039/c4ob02375g</t>
  </si>
  <si>
    <t>10.1039/c5ob00045a</t>
  </si>
  <si>
    <t>10.1039/c5ob01675d</t>
  </si>
  <si>
    <t>10.1039/c6ob00117c</t>
  </si>
  <si>
    <t>10.3762/bjoc.12.272</t>
  </si>
  <si>
    <t>10.1039/c6cc01569g</t>
  </si>
  <si>
    <t>10.1039/c8gc00287h</t>
  </si>
  <si>
    <t>10.1039/c8dt01310a</t>
  </si>
  <si>
    <t>10.1021/acsomega.8b01592</t>
  </si>
  <si>
    <t>10.1039/c8nj02756k</t>
  </si>
  <si>
    <t>10.1039/c9ob02271f</t>
  </si>
  <si>
    <t>10.1055/s-0037-1611945</t>
  </si>
  <si>
    <t>10.1039/c9ob00712a</t>
  </si>
  <si>
    <t>10.1055/s-0039-1690759</t>
  </si>
  <si>
    <t>10.1021/acs.orglett.0c00907</t>
  </si>
  <si>
    <t>10.1039/d0ob00538j</t>
  </si>
  <si>
    <t>10.1039/d0qo01026j</t>
  </si>
  <si>
    <t>10.1039/d1nj01332g</t>
  </si>
  <si>
    <t>10.1039/d0qo01150a</t>
  </si>
  <si>
    <t>10.1021/acsomega.1c03410</t>
  </si>
  <si>
    <t>10.1021/acsomega.1c00458</t>
  </si>
  <si>
    <t>10.1080/00397918708077311</t>
  </si>
  <si>
    <t>10.1080/00397919308011235</t>
  </si>
  <si>
    <t>10.1055/s-2003-41432</t>
  </si>
  <si>
    <t>10.1016/j.tetlet.2004.01.119</t>
  </si>
  <si>
    <t>10.1002/adsc.200404011</t>
  </si>
  <si>
    <t>10.1055/s-2004-820059</t>
  </si>
  <si>
    <t>10.1016/j.tetlet.2005.10.077</t>
  </si>
  <si>
    <t>10.1016/j.tetlet.2005.08.149</t>
  </si>
  <si>
    <t>10.1016/j.tetlet.2005.02.074</t>
  </si>
  <si>
    <t>10.1016/j.tetlet.2005.03.027</t>
  </si>
  <si>
    <t>10.1016/j.tetlet.2005.05.033</t>
  </si>
  <si>
    <t>10.1016/j.tetlet.2006.05.103</t>
  </si>
  <si>
    <t>10.1016/j.tetlet.2006.08.112</t>
  </si>
  <si>
    <t>10.1055/s-2006-941587</t>
  </si>
  <si>
    <t>10.1002/anie.200504247</t>
  </si>
  <si>
    <t>10.1002/adsc.200505385</t>
  </si>
  <si>
    <t>10.1055/s-2006-944227</t>
  </si>
  <si>
    <t>10.1016/j.tetlet.2005.10.164</t>
  </si>
  <si>
    <t>10.1016/j.tetlet.2006.07.008</t>
  </si>
  <si>
    <t>10.1016/j.tetlet.2005.12.022</t>
  </si>
  <si>
    <t>10.1055/s-2006-950336</t>
  </si>
  <si>
    <t>10.1002/ejoc.200601084</t>
  </si>
  <si>
    <t>10.1055/s-2007-990778</t>
  </si>
  <si>
    <t>10.1016/j.tet.2007.04.016</t>
  </si>
  <si>
    <t>10.1016/j.tetlet.2006.11.050</t>
  </si>
  <si>
    <t>10.1016/j.tetlet.2007.03.073</t>
  </si>
  <si>
    <t>10.1002/ejoc.200700281</t>
  </si>
  <si>
    <t>10.1016/j.tet.2007.05.029</t>
  </si>
  <si>
    <t>10.1016/j.tetlet.2006.11.001</t>
  </si>
  <si>
    <t>10.1016/j.tetlet.2007.07.009</t>
  </si>
  <si>
    <t>10.1002/adsc.200600628</t>
  </si>
  <si>
    <t>10.1055/s-2007-965980</t>
  </si>
  <si>
    <t>10.1080/00397910701319056</t>
  </si>
  <si>
    <t>10.1016/j.tetlet.2006.12.071</t>
  </si>
  <si>
    <t>10.1016/j.tetlet.2007.08.095</t>
  </si>
  <si>
    <t>10.1016/j.tetlet.2007.05.094</t>
  </si>
  <si>
    <t>10.1080/00397910600977533</t>
  </si>
  <si>
    <t>10.1055/s-2007-968010</t>
  </si>
  <si>
    <t>10.1016/j.tetlet.2007.07.221</t>
  </si>
  <si>
    <t>10.1055/s-2007-1000878</t>
  </si>
  <si>
    <t>10.1246/bcsj.81.515</t>
  </si>
  <si>
    <t>10.1016/j.tet.2007.11.054</t>
  </si>
  <si>
    <t>10.1016/j.tetlet.2007.11.203</t>
  </si>
  <si>
    <t>10.1016/j.tetlet.2008.03.015</t>
  </si>
  <si>
    <t>10.1016/j.tetlet.2008.01.036</t>
  </si>
  <si>
    <t>10.1016/j.tet.2008.02.092</t>
  </si>
  <si>
    <t>10.1055/s-0028-1087350</t>
  </si>
  <si>
    <t>10.1055/s-2007-992409</t>
  </si>
  <si>
    <t>10.1055/s-2008-1067107</t>
  </si>
  <si>
    <t>10.1055/s-2008-1032055</t>
  </si>
  <si>
    <t>10.1055/s-0028-1088160</t>
  </si>
  <si>
    <t>10.1016/j.tet.2008.10.053</t>
  </si>
  <si>
    <t>10.1016/j.tetlet.2009.03.094</t>
  </si>
  <si>
    <t>10.1055/s-0029-1216871</t>
  </si>
  <si>
    <t>10.1016/j.tet.2008.11.036</t>
  </si>
  <si>
    <t>10.1002/anie.200800688</t>
  </si>
  <si>
    <t>10.1002/anie.200804675</t>
  </si>
  <si>
    <t>10.1016/j.tetlet.2009.04.055</t>
  </si>
  <si>
    <t>10.1002/anie.200805424</t>
  </si>
  <si>
    <t>10.1055/s-0029-1216851</t>
  </si>
  <si>
    <t>10.1016/j.cclet.2009.06.004</t>
  </si>
  <si>
    <t>10.1002/adsc.200900065</t>
  </si>
  <si>
    <t>10.1016/j.tet.2010.01.026</t>
  </si>
  <si>
    <t>10.1002/ejoc.201000665</t>
  </si>
  <si>
    <t>10.1002/adsc.201000323</t>
  </si>
  <si>
    <t>10.1002/ejoc.201000361</t>
  </si>
  <si>
    <t>10.1055/s-0029-1217111</t>
  </si>
  <si>
    <t>10.1002/chem.200903468</t>
  </si>
  <si>
    <t>10.1055/s-0029-1218530</t>
  </si>
  <si>
    <t>10.1016/j.catcom.2011.06.002</t>
  </si>
  <si>
    <t>10.1055/s-0030-1260968</t>
  </si>
  <si>
    <t>10.1002/ejoc.201100112</t>
  </si>
  <si>
    <t>10.1055/s-0030-1260975</t>
  </si>
  <si>
    <t>10.1002/aoc.1765</t>
  </si>
  <si>
    <t>10.1016/j.tetlet.2011.10.128</t>
  </si>
  <si>
    <t>10.1016/j.tet.2011.05.101</t>
  </si>
  <si>
    <t>10.1002/ejoc.201100399</t>
  </si>
  <si>
    <t>10.1016/j.tetlet.2012.10.088</t>
  </si>
  <si>
    <t>10.1016/j.tetlet.2012.10.083</t>
  </si>
  <si>
    <t>10.1002/adsc.201200408</t>
  </si>
  <si>
    <t>10.1016/j.tetlet.2012.06.071</t>
  </si>
  <si>
    <t>10.1002/ejoc.201200953</t>
  </si>
  <si>
    <t>10.1002/ajoc.201300141</t>
  </si>
  <si>
    <t>10.1016/j.tetlet.2012.12.082</t>
  </si>
  <si>
    <t>10.1002/ejoc.201300719</t>
  </si>
  <si>
    <t>10.1002/chem.201302645</t>
  </si>
  <si>
    <t>10.1016/j.tetlet.2013.08.125</t>
  </si>
  <si>
    <t>10.1002/ejoc.201201587</t>
  </si>
  <si>
    <t>10.1055/s-0033-1338800</t>
  </si>
  <si>
    <t>10.1002/cplu.201300249</t>
  </si>
  <si>
    <t>10.1016/j.tetlet.2014.07.096</t>
  </si>
  <si>
    <t>10.1016/j.tet.2014.09.084</t>
  </si>
  <si>
    <t>10.1016/j.cclet.2013.11.036</t>
  </si>
  <si>
    <t>10.1016/j.tetlet.2014.03.125</t>
  </si>
  <si>
    <t>10.1016/j.tetlet.2014.04.039</t>
  </si>
  <si>
    <t>10.1080/00397911.2014.903421</t>
  </si>
  <si>
    <t>10.1016/j.tetlet.2014.01.006</t>
  </si>
  <si>
    <t>10.1016/j.tet.2014.10.014</t>
  </si>
  <si>
    <t>10.1016/j.tet.2013.12.089</t>
  </si>
  <si>
    <t>10.1055/s-0035-1560065</t>
  </si>
  <si>
    <t>10.1016/j.tetlet.2015.02.073</t>
  </si>
  <si>
    <t>10.1002/ajoc.201500062</t>
  </si>
  <si>
    <t>10.1021/acs.orglett.5b01645</t>
  </si>
  <si>
    <t>10.1016/j.tetlet.2016.04.017</t>
  </si>
  <si>
    <t>10.1055/s-0035-1561500</t>
  </si>
  <si>
    <t>10.1016/j.tetlet.2016.09.044</t>
  </si>
  <si>
    <t>10.1016/j.tet.2016.05.013</t>
  </si>
  <si>
    <t>10.1016/j.tetlet.2016.10.095</t>
  </si>
  <si>
    <t>10.1021/acs.oprd.7b00089</t>
  </si>
  <si>
    <t>10.1002/chem.201700832</t>
  </si>
  <si>
    <t>10.1016/j.tet.2016.11.066</t>
  </si>
  <si>
    <t>10.1021/acs.oprd.7b00234</t>
  </si>
  <si>
    <t>10.1021/acs.oprd.7b00191</t>
  </si>
  <si>
    <t>10.1002/jhet.2664</t>
  </si>
  <si>
    <t>10.1021/acs.orglett.7b01304</t>
  </si>
  <si>
    <t>10.1016/j.tetlet.2017.04.101</t>
  </si>
  <si>
    <t>10.1016/j.tetlet.2017.01.095</t>
  </si>
  <si>
    <t>10.1002/slct.201800575</t>
  </si>
  <si>
    <t>10.1021/acscatal.7b03664</t>
  </si>
  <si>
    <t>10.1021/op0680082</t>
  </si>
  <si>
    <t>10.1002/cctc.201900393</t>
  </si>
  <si>
    <t>10.1021/jacs.8b12142</t>
  </si>
  <si>
    <t>10.1080/00397911.2019.1587774</t>
  </si>
  <si>
    <t>10.1002/slct.201903695</t>
  </si>
  <si>
    <t>10.1021/acscatal.8b04789</t>
  </si>
  <si>
    <t>10.1002/ajoc.201900382</t>
  </si>
  <si>
    <t>10.1016/j.tet.2019.04.057</t>
  </si>
  <si>
    <t>10.1002/ajoc.201900273</t>
  </si>
  <si>
    <t>10.1021/acs.orglett.9b02235</t>
  </si>
  <si>
    <t>10.1016/j.tet.2019.130473</t>
  </si>
  <si>
    <t>10.1002/slct.201902411</t>
  </si>
  <si>
    <t>10.1021/acs.joc.9b00869</t>
  </si>
  <si>
    <t>10.1002/slct.201900473</t>
  </si>
  <si>
    <t>10.3389/fchem.2019.00723</t>
  </si>
  <si>
    <t>10.1055/s-0037-1611695</t>
  </si>
  <si>
    <t>10.1016/j.tet.2019.130915</t>
  </si>
  <si>
    <t>10.1002/ejoc.201901542</t>
  </si>
  <si>
    <t>10.1016/j.jfluchem.2020.109464</t>
  </si>
  <si>
    <t>10.1002/ejoc.202000236</t>
  </si>
  <si>
    <t>10.1002/slct.202003455</t>
  </si>
  <si>
    <t>10.1016/j.tet.2020.131826</t>
  </si>
  <si>
    <t>10.1002/slct.202100355</t>
  </si>
  <si>
    <t>10.1016/j.tetlet.2018.03.092</t>
  </si>
  <si>
    <t>10.1039/c7qo00549k</t>
  </si>
  <si>
    <t>10.1002/ejoc.200400453</t>
  </si>
  <si>
    <t>10.1021/jo0712291</t>
  </si>
  <si>
    <t>10.1021/ja068926f</t>
  </si>
  <si>
    <t>10.1021/ja063063b</t>
  </si>
  <si>
    <t>10.1021/ol016258r</t>
  </si>
  <si>
    <t>10.1021/ja0260465</t>
  </si>
  <si>
    <t>10.1021/ja016226z</t>
  </si>
  <si>
    <t>10.1055/s-2007-982564</t>
  </si>
  <si>
    <t>10.1080/00397919508015448</t>
  </si>
  <si>
    <t>10.1002/ejoc.200300709</t>
  </si>
  <si>
    <t>10.1002/chem.200400582</t>
  </si>
  <si>
    <t>10.1016/j.tetlet.2008.01.062</t>
  </si>
  <si>
    <t>10.1080/00397918908052600</t>
  </si>
  <si>
    <t>10.1002/anie.200503538</t>
  </si>
  <si>
    <t>10.1021/ja027433h</t>
  </si>
  <si>
    <t>10.1016/j.catcom.2005.07.016</t>
  </si>
  <si>
    <t>10.1021/jo051640t</t>
  </si>
  <si>
    <t>10.1021/acs.joc.7b01568</t>
  </si>
  <si>
    <t>10.1021/acs.joc.7b00290</t>
  </si>
  <si>
    <t>10.1081/SCC-120016350</t>
  </si>
  <si>
    <t>10.1002/anie.200903923</t>
  </si>
  <si>
    <t>10.1002/anie.200903158</t>
  </si>
  <si>
    <t>10.1021/ol025548k</t>
  </si>
  <si>
    <t>10.1002/anie.200903639</t>
  </si>
  <si>
    <t>10.1055/s-0029-1219548</t>
  </si>
  <si>
    <t>10.1021/jo7015983</t>
  </si>
  <si>
    <t>10.1021/jo070443m</t>
  </si>
  <si>
    <t>10.1021/ol0346436</t>
  </si>
  <si>
    <t>10.1039/c0cc00434k</t>
  </si>
  <si>
    <t>10.1021/jo062060e</t>
  </si>
  <si>
    <t>10.1002/ejoc.201100458</t>
  </si>
  <si>
    <t>10.1021/ol0360041</t>
  </si>
  <si>
    <t>10.1021/ol027061h</t>
  </si>
  <si>
    <t>10.1021/acs.orglett.7b02326</t>
  </si>
  <si>
    <t>10.1055/s-2004-831196</t>
  </si>
  <si>
    <t>10.1021/jo702024p</t>
  </si>
  <si>
    <t>10.1002/adsc.200700535</t>
  </si>
  <si>
    <t>10.1021/jacs.5b08411</t>
  </si>
  <si>
    <t>10.1039/b706449g</t>
  </si>
  <si>
    <t>10.1021/acs.joc.7b00493</t>
  </si>
  <si>
    <t>10.1021/jo1026035</t>
  </si>
  <si>
    <t>10.1002/chem.200800436</t>
  </si>
  <si>
    <t>10.1016/j.tet.2008.02.082</t>
  </si>
  <si>
    <t>10.1039/c4ra11183d</t>
  </si>
  <si>
    <t>10.1002/cjoc.201200701</t>
  </si>
  <si>
    <t>10.1021/jo101917x</t>
  </si>
  <si>
    <t>10.1055/s-2005-865198</t>
  </si>
  <si>
    <t>10.1002/adsc.200700408</t>
  </si>
  <si>
    <t>10.1021/ol0608505</t>
  </si>
  <si>
    <t>10.1002/ejoc.200800940</t>
  </si>
  <si>
    <t>10.1016/j.tet.2013.05.027</t>
  </si>
  <si>
    <t>10.1021/jacs.6b08114</t>
  </si>
  <si>
    <t>10.1039/c5gc00871a</t>
  </si>
  <si>
    <t>10.1039/c1cc10782h</t>
  </si>
  <si>
    <t>10.1021/ol0170105</t>
  </si>
  <si>
    <t>10.1021/acs.orglett.7b00901</t>
  </si>
  <si>
    <t>10.1021/jo070807a</t>
  </si>
  <si>
    <t>10.1016/j.tet.2005.04.053</t>
  </si>
  <si>
    <t>10.1039/c2gc35077g</t>
  </si>
  <si>
    <t>10.1016/j.tetlet.2007.08.026</t>
  </si>
  <si>
    <t>10.1021/ol026902h</t>
  </si>
  <si>
    <t>10.1002/anie.200902236</t>
  </si>
  <si>
    <t>10.1055/s-0029-1217958</t>
  </si>
  <si>
    <t>10.1002/anie.200902237</t>
  </si>
  <si>
    <t>10.1016/j.cclet.2007.07.016</t>
  </si>
  <si>
    <t>10.1055/s-0030-1258965</t>
  </si>
  <si>
    <t>10.1021/jo400702z</t>
  </si>
  <si>
    <t>10.1002/ange.201601035</t>
  </si>
  <si>
    <t>10.1021/ja073633n</t>
  </si>
  <si>
    <t>10.1021/ol301135c</t>
  </si>
  <si>
    <t>10.1016/j.tet.2006.02.062</t>
  </si>
  <si>
    <t>10.1021/jo8015488</t>
  </si>
  <si>
    <t>10.1002/ejoc.201000964</t>
  </si>
  <si>
    <t>10.1002/chem.200501473</t>
  </si>
  <si>
    <t>10.1021/jo0504464</t>
  </si>
  <si>
    <t>10.1002/adsc.201700026</t>
    <phoneticPr fontId="2" type="noConversion"/>
  </si>
  <si>
    <t>10.1081/SCC-120018938</t>
  </si>
  <si>
    <t>10.1016/j.tet.2006.01.103</t>
  </si>
  <si>
    <t>10.1039/c0cy00090f</t>
  </si>
  <si>
    <t>10.1016/j.tet.2004.11.017</t>
  </si>
  <si>
    <t>10.1016/j.tetlet.2008.05.008</t>
  </si>
  <si>
    <t>10.1055/s-0029-1218691</t>
  </si>
  <si>
    <t>10.1016/j.tet.2015.08.066</t>
  </si>
  <si>
    <t>10.1039/c4cc02267j</t>
  </si>
  <si>
    <t>10.1021/ja00479a077</t>
  </si>
  <si>
    <t>No.</t>
  </si>
  <si>
    <t>H-2</t>
  </si>
  <si>
    <t>H-3</t>
  </si>
  <si>
    <t>H-5</t>
  </si>
  <si>
    <t>H-9</t>
  </si>
  <si>
    <t>H-11</t>
  </si>
  <si>
    <t>H-12</t>
  </si>
  <si>
    <t>H-13</t>
  </si>
  <si>
    <t>H-14</t>
  </si>
  <si>
    <t>H-23</t>
  </si>
  <si>
    <t>H-28</t>
  </si>
  <si>
    <t>H-29</t>
  </si>
  <si>
    <t>H-34</t>
  </si>
  <si>
    <t>H-39</t>
  </si>
  <si>
    <t>H-46</t>
  </si>
  <si>
    <t>H-47</t>
  </si>
  <si>
    <t>H-50</t>
  </si>
  <si>
    <t>H-55</t>
  </si>
  <si>
    <t>H-56</t>
  </si>
  <si>
    <t>H-57</t>
  </si>
  <si>
    <t>H-58</t>
  </si>
  <si>
    <t>H-67</t>
  </si>
  <si>
    <t>H-69</t>
  </si>
  <si>
    <t>H-74</t>
  </si>
  <si>
    <t>H-79</t>
  </si>
  <si>
    <t>H-89</t>
  </si>
  <si>
    <t>H-90</t>
  </si>
  <si>
    <t>H-92</t>
  </si>
  <si>
    <t>H-93</t>
  </si>
  <si>
    <t>H-94</t>
  </si>
  <si>
    <t>H-96</t>
  </si>
  <si>
    <t>H-97</t>
  </si>
  <si>
    <t>H-100</t>
  </si>
  <si>
    <t>H-101</t>
  </si>
  <si>
    <t>H-106</t>
  </si>
  <si>
    <t>H-107</t>
  </si>
  <si>
    <t>H-108</t>
  </si>
  <si>
    <t>H-109</t>
  </si>
  <si>
    <t>H-110</t>
  </si>
  <si>
    <t>H-111</t>
  </si>
  <si>
    <t>H-112</t>
  </si>
  <si>
    <t>H-113</t>
  </si>
  <si>
    <t>H-114</t>
  </si>
  <si>
    <t>H-115</t>
  </si>
  <si>
    <t>H-116</t>
  </si>
  <si>
    <t>H-117</t>
  </si>
  <si>
    <t>H-118</t>
  </si>
  <si>
    <t>H-119</t>
  </si>
  <si>
    <t>H-120</t>
  </si>
  <si>
    <t>H-121</t>
  </si>
  <si>
    <t>H-122</t>
  </si>
  <si>
    <t>H-123</t>
  </si>
  <si>
    <t>H-124</t>
  </si>
  <si>
    <t>H-125</t>
  </si>
  <si>
    <t>H-126</t>
  </si>
  <si>
    <t>H-127</t>
  </si>
  <si>
    <t>H-128</t>
  </si>
  <si>
    <t>H-129</t>
  </si>
  <si>
    <t>Z-1</t>
  </si>
  <si>
    <t>Z-2</t>
  </si>
  <si>
    <t>Z-3</t>
  </si>
  <si>
    <t>Z-4</t>
  </si>
  <si>
    <t>Z-5</t>
  </si>
  <si>
    <t>Z-6</t>
  </si>
  <si>
    <t>Z-7</t>
  </si>
  <si>
    <t>Z-8</t>
  </si>
  <si>
    <t>Z-9</t>
  </si>
  <si>
    <t>Z-10</t>
  </si>
  <si>
    <t>Z-11</t>
  </si>
  <si>
    <t>Z-12</t>
  </si>
  <si>
    <t>Z-13</t>
  </si>
  <si>
    <t>Z-14</t>
  </si>
  <si>
    <t>Z-15</t>
  </si>
  <si>
    <t>Z-16</t>
  </si>
  <si>
    <t>Z-17</t>
  </si>
  <si>
    <t>Z-18</t>
  </si>
  <si>
    <t>Z-19</t>
  </si>
  <si>
    <t>Z-20</t>
  </si>
  <si>
    <t>Z-21</t>
  </si>
  <si>
    <t>Z-22</t>
  </si>
  <si>
    <t>Z-23</t>
  </si>
  <si>
    <t>Z-24</t>
  </si>
  <si>
    <t>Z-25</t>
  </si>
  <si>
    <t>Z-26</t>
  </si>
  <si>
    <t>Z-27</t>
  </si>
  <si>
    <t>Z-28</t>
  </si>
  <si>
    <t>Z-29</t>
  </si>
  <si>
    <t>Z-30</t>
  </si>
  <si>
    <t>Z-31</t>
  </si>
  <si>
    <t>Z-32</t>
  </si>
  <si>
    <t>Z-33</t>
  </si>
  <si>
    <t>Z-34</t>
  </si>
  <si>
    <t>Z-35</t>
  </si>
  <si>
    <t>Z-36</t>
  </si>
  <si>
    <t>Z-37</t>
  </si>
  <si>
    <t>Z-38</t>
  </si>
  <si>
    <t>Z-39</t>
  </si>
  <si>
    <t>Z-40</t>
  </si>
  <si>
    <t>Z-41</t>
  </si>
  <si>
    <t>Z-42</t>
  </si>
  <si>
    <t>Z-43</t>
  </si>
  <si>
    <t>Z-44</t>
  </si>
  <si>
    <t>Z-45</t>
  </si>
  <si>
    <t>Z-46</t>
  </si>
  <si>
    <t>Z-47</t>
  </si>
  <si>
    <t>Z-48</t>
  </si>
  <si>
    <t>Z-49</t>
  </si>
  <si>
    <t>Z-50</t>
  </si>
  <si>
    <t>Z-51</t>
  </si>
  <si>
    <t>Z-52</t>
  </si>
  <si>
    <t>Z-53</t>
  </si>
  <si>
    <t>Z-54</t>
  </si>
  <si>
    <t>Z-55</t>
  </si>
  <si>
    <t>Z-56</t>
  </si>
  <si>
    <t>Z-57</t>
  </si>
  <si>
    <t>Z-58</t>
  </si>
  <si>
    <t>Z-59</t>
  </si>
  <si>
    <t>Z-60</t>
  </si>
  <si>
    <t>Z-61</t>
  </si>
  <si>
    <t>Z-62</t>
  </si>
  <si>
    <t>Z-63</t>
  </si>
  <si>
    <t>Z-64</t>
  </si>
  <si>
    <t>Z-65</t>
  </si>
  <si>
    <t>Z-66</t>
  </si>
  <si>
    <t>Z-67</t>
  </si>
  <si>
    <t>Z-68</t>
  </si>
  <si>
    <t>Z-69</t>
  </si>
  <si>
    <t>Z-70</t>
  </si>
  <si>
    <t>Z-71</t>
  </si>
  <si>
    <t>Z-72</t>
  </si>
  <si>
    <t>Z-73</t>
  </si>
  <si>
    <t>Z-74</t>
  </si>
  <si>
    <t>Z-75</t>
  </si>
  <si>
    <t>Z-76</t>
  </si>
  <si>
    <t>Z-78</t>
  </si>
  <si>
    <t>Z-79</t>
  </si>
  <si>
    <t>Z-80</t>
  </si>
  <si>
    <t>Z-81</t>
  </si>
  <si>
    <t>Z-82</t>
  </si>
  <si>
    <t>Z-84</t>
  </si>
  <si>
    <t>Z-85</t>
  </si>
  <si>
    <t>Z-86</t>
  </si>
  <si>
    <t>Z-87</t>
  </si>
  <si>
    <t>Z-88</t>
  </si>
  <si>
    <t>Z-89</t>
  </si>
  <si>
    <t>Z-90</t>
  </si>
  <si>
    <t>Z-91</t>
  </si>
  <si>
    <t>Z-92</t>
  </si>
  <si>
    <t>Z-93</t>
  </si>
  <si>
    <t>Z-94</t>
  </si>
  <si>
    <t>Z-95</t>
  </si>
  <si>
    <t>Z-96</t>
  </si>
  <si>
    <t>Z-97</t>
  </si>
  <si>
    <t>Z-98</t>
  </si>
  <si>
    <t>Z-99</t>
  </si>
  <si>
    <t>Z-100</t>
  </si>
  <si>
    <t>Z-101</t>
  </si>
  <si>
    <t>Z-102</t>
  </si>
  <si>
    <t>Z-103</t>
  </si>
  <si>
    <t>Z-104</t>
  </si>
  <si>
    <t>Z-105</t>
  </si>
  <si>
    <t>Z-106</t>
  </si>
  <si>
    <t>Z-107</t>
  </si>
  <si>
    <t>Z-108</t>
  </si>
  <si>
    <t>Z-109</t>
  </si>
  <si>
    <t>Z-110</t>
  </si>
  <si>
    <t>Z-111</t>
  </si>
  <si>
    <t>Z-112</t>
  </si>
  <si>
    <t>Z-113</t>
  </si>
  <si>
    <t>Z-114</t>
  </si>
  <si>
    <t>Z-115</t>
  </si>
  <si>
    <t>Z-116</t>
  </si>
  <si>
    <t>Z-117</t>
  </si>
  <si>
    <t>Z-118</t>
  </si>
  <si>
    <t>Z-119</t>
  </si>
  <si>
    <t>Z-120</t>
  </si>
  <si>
    <t>Z-121</t>
  </si>
  <si>
    <t>Z-122</t>
  </si>
  <si>
    <t>Z-123</t>
  </si>
  <si>
    <t>Z-124</t>
  </si>
  <si>
    <t>Z-125</t>
  </si>
  <si>
    <t>Z-126</t>
  </si>
  <si>
    <t>Z-127</t>
  </si>
  <si>
    <t>Z-128</t>
  </si>
  <si>
    <t>Z-129</t>
  </si>
  <si>
    <t>Z-131</t>
  </si>
  <si>
    <t>Z-136</t>
  </si>
  <si>
    <t>Z-139</t>
  </si>
  <si>
    <t>Z-142</t>
  </si>
  <si>
    <t>Z-144</t>
  </si>
  <si>
    <t>Z-145</t>
  </si>
  <si>
    <t>Z-148</t>
  </si>
  <si>
    <t>Z-150</t>
  </si>
  <si>
    <t>Z-151</t>
  </si>
  <si>
    <t>Z-152</t>
  </si>
  <si>
    <t>Z-153</t>
  </si>
  <si>
    <t>Z-154</t>
  </si>
  <si>
    <t>Z-155</t>
  </si>
  <si>
    <t>Z-156</t>
  </si>
  <si>
    <t>Z-157</t>
  </si>
  <si>
    <t>Z-159</t>
  </si>
  <si>
    <t>Z-160</t>
  </si>
  <si>
    <t>Z-163</t>
  </si>
  <si>
    <t>Z-164</t>
  </si>
  <si>
    <t>Z-165</t>
  </si>
  <si>
    <t>Z-166</t>
  </si>
  <si>
    <t>Z-169</t>
  </si>
  <si>
    <t>Z-170</t>
  </si>
  <si>
    <t>Z-171</t>
  </si>
  <si>
    <t>Z-172</t>
  </si>
  <si>
    <t>Z-173</t>
  </si>
  <si>
    <t>Z-174</t>
  </si>
  <si>
    <t>Z-175</t>
  </si>
  <si>
    <t>Z-176</t>
  </si>
  <si>
    <t>Z-178</t>
  </si>
  <si>
    <t>Z-179</t>
  </si>
  <si>
    <t>Z-181</t>
  </si>
  <si>
    <t>Z-182</t>
  </si>
  <si>
    <t>Z-183</t>
  </si>
  <si>
    <t>Z-184</t>
  </si>
  <si>
    <t>Z-185</t>
  </si>
  <si>
    <t>Z-186</t>
  </si>
  <si>
    <t>Z-187</t>
  </si>
  <si>
    <t>Z-188</t>
  </si>
  <si>
    <t>Z-189</t>
  </si>
  <si>
    <t>Z-190</t>
  </si>
  <si>
    <t>Z-191</t>
  </si>
  <si>
    <t>Z-194</t>
  </si>
  <si>
    <t>Z-195</t>
  </si>
  <si>
    <t>Z-196</t>
  </si>
  <si>
    <t>Z-197</t>
  </si>
  <si>
    <t>Z-198</t>
  </si>
  <si>
    <t>Z-201</t>
  </si>
  <si>
    <t>Z-203</t>
  </si>
  <si>
    <t>Z-204</t>
  </si>
  <si>
    <t>Z-205</t>
  </si>
  <si>
    <t>Z-206</t>
  </si>
  <si>
    <t>Z-207</t>
  </si>
  <si>
    <t>Z-208</t>
  </si>
  <si>
    <t>Z-212</t>
  </si>
  <si>
    <t>Z-213</t>
  </si>
  <si>
    <t>Z-216</t>
  </si>
  <si>
    <t>Z-218</t>
  </si>
  <si>
    <t>Z-219</t>
  </si>
  <si>
    <t>Z-221</t>
  </si>
  <si>
    <t>Z-222</t>
  </si>
  <si>
    <t>Z-223</t>
  </si>
  <si>
    <t>Z-228</t>
  </si>
  <si>
    <t>Z-229</t>
  </si>
  <si>
    <t>Z-231</t>
  </si>
  <si>
    <t>Z-236</t>
  </si>
  <si>
    <t>Z-237</t>
  </si>
  <si>
    <t>Z-243</t>
  </si>
  <si>
    <t>Z-244</t>
  </si>
  <si>
    <t>Z-245</t>
  </si>
  <si>
    <t>Z-246</t>
  </si>
  <si>
    <t>Z-247</t>
  </si>
  <si>
    <t>none</t>
  </si>
  <si>
    <t>10.1016/j.jﬂuchem.2016.11.009</t>
  </si>
  <si>
    <t>H-1</t>
  </si>
  <si>
    <t>Z-86-1</t>
  </si>
  <si>
    <t>Z-19-1</t>
  </si>
  <si>
    <t>Z-24-1</t>
  </si>
  <si>
    <t>Z-25-1</t>
  </si>
  <si>
    <t>Z-26-1</t>
  </si>
  <si>
    <t>Z-3-1</t>
  </si>
  <si>
    <t>Z-4-1</t>
  </si>
  <si>
    <t>Z-210-1</t>
  </si>
  <si>
    <t>H-27</t>
    <phoneticPr fontId="2" type="noConversion"/>
  </si>
  <si>
    <t>10.1021/ol0171867</t>
  </si>
  <si>
    <t>10.1002/chem.201701671</t>
    <phoneticPr fontId="2" type="noConversion"/>
  </si>
  <si>
    <t>10.1021/jo049658b</t>
    <phoneticPr fontId="2" type="noConversion"/>
  </si>
  <si>
    <t>10.1021/jo060492j</t>
  </si>
  <si>
    <t>10.1021/jo0606960</t>
  </si>
  <si>
    <t>10.1021/jo052234c</t>
  </si>
  <si>
    <t>year</t>
    <phoneticPr fontId="2" type="noConversion"/>
  </si>
  <si>
    <t>10.1016/S0040-4039(02)01708-2</t>
  </si>
  <si>
    <t>10.1016/j.tetlet.2003.09.068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</si>
</sst>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宋体"/>
      <family val="2"/>
      <scheme val="minor"/>
    </font>
    <font>
      <sz val="11"/>
      <color rgb="FF000000"/>
      <name val="Arial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0.5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1"/>
    <xf numFmtId="0" fontId="4" fillId="0" borderId="0" applyNumberFormat="0" applyFill="0" applyBorder="0" applyAlignment="0" applyProtection="0"/>
  </cellStyleXfs>
  <cellXfs count="14">
    <xf numFmtId="0" fontId="0" fillId="0" borderId="0" xfId="0"/>
    <xf numFmtId="3" fontId="1" fillId="0" borderId="1" xfId="0" applyNumberFormat="1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center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3" fillId="0" borderId="1" xfId="1"/>
    <xf numFmtId="0" fontId="4" fillId="0" borderId="0" xfId="2"/>
    <xf numFmtId="0" fontId="5" fillId="0" borderId="3" xfId="0" applyFont="1" applyBorder="1" applyAlignment="1">
      <alignment horizontal="justify" vertical="center"/>
    </xf>
  </cellXfs>
  <cellStyles count="3">
    <cellStyle name="常规" xfId="0" builtinId="0"/>
    <cellStyle name="常规 2" xfId="1" xr:uid="{0136CF02-4B49-D847-AD79-FB9D1D87451C}"/>
    <cellStyle name="超链接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5496"/>
  <sheetViews>
    <sheetView tabSelected="1" topLeftCell="A165" workbookViewId="0">
      <selection activeCell="D193" sqref="D193:E193"/>
    </sheetView>
  </sheetViews>
  <sheetFormatPr baseColWidth="10" defaultColWidth="8.83203125" defaultRowHeight="14"/>
  <cols>
    <col min="1" max="1" width="12.5" style="8" bestFit="1" customWidth="1"/>
    <col min="2" max="2" width="12.5" style="9" bestFit="1" customWidth="1"/>
    <col min="3" max="4" width="12.5" bestFit="1" customWidth="1"/>
    <col min="5" max="5" width="12.5" customWidth="1"/>
    <col min="8" max="15" width="12.5" bestFit="1" customWidth="1"/>
    <col min="16" max="16" width="12.5" style="10" bestFit="1" customWidth="1"/>
    <col min="17" max="17" width="12.5" bestFit="1" customWidth="1"/>
    <col min="18" max="20" width="12.5" style="9" bestFit="1" customWidth="1"/>
    <col min="21" max="24" width="12.5" bestFit="1" customWidth="1"/>
  </cols>
  <sheetData>
    <row r="1" spans="1:24" ht="19.5" customHeight="1">
      <c r="A1" s="1"/>
      <c r="B1" s="2" t="s">
        <v>0</v>
      </c>
      <c r="C1" s="3" t="s">
        <v>1</v>
      </c>
      <c r="D1" s="3" t="s">
        <v>2</v>
      </c>
      <c r="E1" s="3" t="s">
        <v>660</v>
      </c>
      <c r="F1" s="3" t="s">
        <v>658</v>
      </c>
      <c r="G1" s="3" t="s">
        <v>1250</v>
      </c>
      <c r="H1" s="3" t="s">
        <v>3</v>
      </c>
      <c r="I1" s="3" t="s">
        <v>4</v>
      </c>
      <c r="J1" s="3" t="s">
        <v>5</v>
      </c>
      <c r="K1" s="3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4" t="s">
        <v>11</v>
      </c>
      <c r="Q1" s="3" t="s">
        <v>12</v>
      </c>
      <c r="R1" s="2" t="s">
        <v>13</v>
      </c>
      <c r="S1" s="2" t="s">
        <v>14</v>
      </c>
      <c r="T1" s="2" t="s">
        <v>15</v>
      </c>
      <c r="U1" s="3" t="s">
        <v>16</v>
      </c>
      <c r="V1" s="3" t="s">
        <v>17</v>
      </c>
      <c r="W1" s="3" t="s">
        <v>18</v>
      </c>
      <c r="X1" s="3" t="s">
        <v>19</v>
      </c>
    </row>
    <row r="2" spans="1:24" ht="18.75" customHeight="1">
      <c r="A2" s="2">
        <v>0</v>
      </c>
      <c r="B2" s="5">
        <v>91</v>
      </c>
      <c r="C2" s="6" t="s">
        <v>20</v>
      </c>
      <c r="D2" s="6" t="s">
        <v>21</v>
      </c>
      <c r="E2" s="6" t="str">
        <f>VLOOKUP($D2,date!$B$2:$E$376,2,FALSE)</f>
        <v>10.1039/b308034j</v>
      </c>
      <c r="F2" s="6">
        <f>VLOOKUP($D2,date!$B$2:$E$376,3,FALSE)</f>
        <v>1</v>
      </c>
      <c r="G2" s="6">
        <f>VLOOKUP($D2,date!$B$2:$E$376,4,FALSE)</f>
        <v>2003</v>
      </c>
      <c r="H2" s="6" t="s">
        <v>22</v>
      </c>
      <c r="I2" s="6" t="s">
        <v>23</v>
      </c>
      <c r="J2" s="6" t="s">
        <v>24</v>
      </c>
      <c r="K2" s="6" t="s">
        <v>25</v>
      </c>
      <c r="L2" s="6" t="s">
        <v>26</v>
      </c>
      <c r="M2" s="6" t="s">
        <v>27</v>
      </c>
      <c r="N2" s="6" t="s">
        <v>23</v>
      </c>
      <c r="O2" s="6" t="s">
        <v>23</v>
      </c>
      <c r="P2" s="7">
        <v>3.57</v>
      </c>
      <c r="Q2" s="6" t="s">
        <v>28</v>
      </c>
      <c r="R2" s="5">
        <v>110</v>
      </c>
      <c r="S2" s="7">
        <v>3.5</v>
      </c>
      <c r="T2" s="5">
        <v>0</v>
      </c>
      <c r="U2" s="6" t="s">
        <v>29</v>
      </c>
      <c r="V2" s="6" t="s">
        <v>30</v>
      </c>
      <c r="W2" s="6" t="s">
        <v>31</v>
      </c>
      <c r="X2" s="6" t="s">
        <v>32</v>
      </c>
    </row>
    <row r="3" spans="1:24" ht="18.75" customHeight="1">
      <c r="A3" s="2">
        <v>1</v>
      </c>
      <c r="B3" s="5">
        <v>92</v>
      </c>
      <c r="C3" s="6" t="s">
        <v>33</v>
      </c>
      <c r="D3" s="6" t="s">
        <v>21</v>
      </c>
      <c r="E3" s="6" t="str">
        <f>VLOOKUP($D3,date!$B$2:$E$376,2,FALSE)</f>
        <v>10.1039/b308034j</v>
      </c>
      <c r="F3" s="6">
        <f>VLOOKUP($D3,date!$B$2:$E$376,3,FALSE)</f>
        <v>1</v>
      </c>
      <c r="G3" s="6">
        <f>VLOOKUP($D3,date!$B$2:$E$376,4,FALSE)</f>
        <v>2003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6" t="s">
        <v>23</v>
      </c>
      <c r="O3" s="6" t="s">
        <v>23</v>
      </c>
      <c r="P3" s="7">
        <v>3.57</v>
      </c>
      <c r="Q3" s="6" t="s">
        <v>28</v>
      </c>
      <c r="R3" s="5">
        <v>110</v>
      </c>
      <c r="S3" s="7">
        <v>3.5</v>
      </c>
      <c r="T3" s="5">
        <v>15</v>
      </c>
      <c r="U3" s="6" t="s">
        <v>29</v>
      </c>
      <c r="V3" s="6" t="s">
        <v>30</v>
      </c>
      <c r="W3" s="6" t="s">
        <v>31</v>
      </c>
      <c r="X3" s="6" t="s">
        <v>32</v>
      </c>
    </row>
    <row r="4" spans="1:24" ht="18.75" customHeight="1">
      <c r="A4" s="2">
        <v>2</v>
      </c>
      <c r="B4" s="5">
        <v>93</v>
      </c>
      <c r="C4" s="6" t="s">
        <v>34</v>
      </c>
      <c r="D4" s="6" t="s">
        <v>21</v>
      </c>
      <c r="E4" s="6" t="str">
        <f>VLOOKUP($D4,date!$B$2:$E$376,2,FALSE)</f>
        <v>10.1039/b308034j</v>
      </c>
      <c r="F4" s="6">
        <f>VLOOKUP($D4,date!$B$2:$E$376,3,FALSE)</f>
        <v>1</v>
      </c>
      <c r="G4" s="6">
        <f>VLOOKUP($D4,date!$B$2:$E$376,4,FALSE)</f>
        <v>2003</v>
      </c>
      <c r="H4" s="6" t="s">
        <v>22</v>
      </c>
      <c r="I4" s="6" t="s">
        <v>23</v>
      </c>
      <c r="J4" s="6" t="s">
        <v>24</v>
      </c>
      <c r="K4" s="6" t="s">
        <v>25</v>
      </c>
      <c r="L4" s="6" t="s">
        <v>26</v>
      </c>
      <c r="M4" s="6" t="s">
        <v>27</v>
      </c>
      <c r="N4" s="6" t="s">
        <v>23</v>
      </c>
      <c r="O4" s="6" t="s">
        <v>23</v>
      </c>
      <c r="P4" s="7">
        <v>3.57</v>
      </c>
      <c r="Q4" s="6" t="s">
        <v>28</v>
      </c>
      <c r="R4" s="5">
        <v>110</v>
      </c>
      <c r="S4" s="7">
        <v>3.5</v>
      </c>
      <c r="T4" s="5">
        <v>19</v>
      </c>
      <c r="U4" s="6" t="s">
        <v>29</v>
      </c>
      <c r="V4" s="6" t="s">
        <v>30</v>
      </c>
      <c r="W4" s="6" t="s">
        <v>31</v>
      </c>
      <c r="X4" s="6" t="s">
        <v>32</v>
      </c>
    </row>
    <row r="5" spans="1:24" ht="18.75" customHeight="1">
      <c r="A5" s="2">
        <v>3</v>
      </c>
      <c r="B5" s="5">
        <v>94</v>
      </c>
      <c r="C5" s="6" t="s">
        <v>35</v>
      </c>
      <c r="D5" s="6" t="s">
        <v>21</v>
      </c>
      <c r="E5" s="6" t="str">
        <f>VLOOKUP($D5,date!$B$2:$E$376,2,FALSE)</f>
        <v>10.1039/b308034j</v>
      </c>
      <c r="F5" s="6">
        <f>VLOOKUP($D5,date!$B$2:$E$376,3,FALSE)</f>
        <v>1</v>
      </c>
      <c r="G5" s="6">
        <f>VLOOKUP($D5,date!$B$2:$E$376,4,FALSE)</f>
        <v>2003</v>
      </c>
      <c r="H5" s="6" t="s">
        <v>36</v>
      </c>
      <c r="I5" s="6" t="s">
        <v>23</v>
      </c>
      <c r="J5" s="6" t="s">
        <v>24</v>
      </c>
      <c r="K5" s="6" t="s">
        <v>25</v>
      </c>
      <c r="L5" s="6" t="s">
        <v>26</v>
      </c>
      <c r="M5" s="6" t="s">
        <v>27</v>
      </c>
      <c r="N5" s="6" t="s">
        <v>23</v>
      </c>
      <c r="O5" s="6" t="s">
        <v>23</v>
      </c>
      <c r="P5" s="7">
        <v>3.57</v>
      </c>
      <c r="Q5" s="6" t="s">
        <v>28</v>
      </c>
      <c r="R5" s="5">
        <v>110</v>
      </c>
      <c r="S5" s="7">
        <v>3.5</v>
      </c>
      <c r="T5" s="5">
        <v>80</v>
      </c>
      <c r="U5" s="6" t="s">
        <v>29</v>
      </c>
      <c r="V5" s="6" t="s">
        <v>30</v>
      </c>
      <c r="W5" s="6" t="s">
        <v>31</v>
      </c>
      <c r="X5" s="6" t="s">
        <v>32</v>
      </c>
    </row>
    <row r="6" spans="1:24" ht="18.75" customHeight="1">
      <c r="A6" s="2">
        <v>4</v>
      </c>
      <c r="B6" s="5">
        <v>95</v>
      </c>
      <c r="C6" s="6" t="s">
        <v>37</v>
      </c>
      <c r="D6" s="6" t="s">
        <v>21</v>
      </c>
      <c r="E6" s="6" t="str">
        <f>VLOOKUP($D6,date!$B$2:$E$376,2,FALSE)</f>
        <v>10.1039/b308034j</v>
      </c>
      <c r="F6" s="6">
        <f>VLOOKUP($D6,date!$B$2:$E$376,3,FALSE)</f>
        <v>1</v>
      </c>
      <c r="G6" s="6">
        <f>VLOOKUP($D6,date!$B$2:$E$376,4,FALSE)</f>
        <v>2003</v>
      </c>
      <c r="H6" s="6" t="s">
        <v>36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27</v>
      </c>
      <c r="N6" s="6" t="s">
        <v>23</v>
      </c>
      <c r="O6" s="6" t="s">
        <v>23</v>
      </c>
      <c r="P6" s="7">
        <v>3.57</v>
      </c>
      <c r="Q6" s="6" t="s">
        <v>28</v>
      </c>
      <c r="R6" s="5">
        <v>110</v>
      </c>
      <c r="S6" s="7">
        <v>3.5</v>
      </c>
      <c r="T6" s="5">
        <v>87</v>
      </c>
      <c r="U6" s="6" t="s">
        <v>29</v>
      </c>
      <c r="V6" s="6" t="s">
        <v>30</v>
      </c>
      <c r="W6" s="6" t="s">
        <v>31</v>
      </c>
      <c r="X6" s="6" t="s">
        <v>32</v>
      </c>
    </row>
    <row r="7" spans="1:24" ht="18.75" customHeight="1">
      <c r="A7" s="2">
        <v>5</v>
      </c>
      <c r="B7" s="5">
        <v>96</v>
      </c>
      <c r="C7" s="6" t="s">
        <v>38</v>
      </c>
      <c r="D7" s="6" t="s">
        <v>21</v>
      </c>
      <c r="E7" s="6" t="str">
        <f>VLOOKUP($D7,date!$B$2:$E$376,2,FALSE)</f>
        <v>10.1039/b308034j</v>
      </c>
      <c r="F7" s="6">
        <f>VLOOKUP($D7,date!$B$2:$E$376,3,FALSE)</f>
        <v>1</v>
      </c>
      <c r="G7" s="6">
        <f>VLOOKUP($D7,date!$B$2:$E$376,4,FALSE)</f>
        <v>2003</v>
      </c>
      <c r="H7" s="6" t="s">
        <v>36</v>
      </c>
      <c r="I7" s="6" t="s">
        <v>23</v>
      </c>
      <c r="J7" s="6" t="s">
        <v>24</v>
      </c>
      <c r="K7" s="6" t="s">
        <v>25</v>
      </c>
      <c r="L7" s="6" t="s">
        <v>26</v>
      </c>
      <c r="M7" s="6" t="s">
        <v>27</v>
      </c>
      <c r="N7" s="6" t="s">
        <v>23</v>
      </c>
      <c r="O7" s="6" t="s">
        <v>23</v>
      </c>
      <c r="P7" s="7">
        <v>3.57</v>
      </c>
      <c r="Q7" s="6" t="s">
        <v>28</v>
      </c>
      <c r="R7" s="5">
        <v>110</v>
      </c>
      <c r="S7" s="7">
        <v>3.5</v>
      </c>
      <c r="T7" s="5">
        <v>83</v>
      </c>
      <c r="U7" s="6" t="s">
        <v>29</v>
      </c>
      <c r="V7" s="6" t="s">
        <v>30</v>
      </c>
      <c r="W7" s="6" t="s">
        <v>31</v>
      </c>
      <c r="X7" s="6" t="s">
        <v>32</v>
      </c>
    </row>
    <row r="8" spans="1:24" ht="18.75" customHeight="1">
      <c r="A8" s="2">
        <v>6</v>
      </c>
      <c r="B8" s="5">
        <v>97</v>
      </c>
      <c r="C8" s="6" t="s">
        <v>39</v>
      </c>
      <c r="D8" s="6" t="s">
        <v>21</v>
      </c>
      <c r="E8" s="6" t="str">
        <f>VLOOKUP($D8,date!$B$2:$E$376,2,FALSE)</f>
        <v>10.1039/b308034j</v>
      </c>
      <c r="F8" s="6">
        <f>VLOOKUP($D8,date!$B$2:$E$376,3,FALSE)</f>
        <v>1</v>
      </c>
      <c r="G8" s="6">
        <f>VLOOKUP($D8,date!$B$2:$E$376,4,FALSE)</f>
        <v>2003</v>
      </c>
      <c r="H8" s="6" t="s">
        <v>36</v>
      </c>
      <c r="I8" s="6" t="s">
        <v>23</v>
      </c>
      <c r="J8" s="6" t="s">
        <v>24</v>
      </c>
      <c r="K8" s="6" t="s">
        <v>40</v>
      </c>
      <c r="L8" s="6" t="s">
        <v>26</v>
      </c>
      <c r="M8" s="6" t="s">
        <v>27</v>
      </c>
      <c r="N8" s="6" t="s">
        <v>23</v>
      </c>
      <c r="O8" s="6" t="s">
        <v>23</v>
      </c>
      <c r="P8" s="7">
        <v>3.57</v>
      </c>
      <c r="Q8" s="6" t="s">
        <v>28</v>
      </c>
      <c r="R8" s="5">
        <v>135</v>
      </c>
      <c r="S8" s="7">
        <v>10.5</v>
      </c>
      <c r="T8" s="5">
        <v>58</v>
      </c>
      <c r="U8" s="6" t="s">
        <v>29</v>
      </c>
      <c r="V8" s="6" t="s">
        <v>30</v>
      </c>
      <c r="W8" s="6" t="s">
        <v>31</v>
      </c>
      <c r="X8" s="6" t="s">
        <v>41</v>
      </c>
    </row>
    <row r="9" spans="1:24" ht="18.75" customHeight="1">
      <c r="A9" s="2">
        <v>7</v>
      </c>
      <c r="B9" s="5">
        <v>98</v>
      </c>
      <c r="C9" s="6" t="s">
        <v>42</v>
      </c>
      <c r="D9" s="6" t="s">
        <v>21</v>
      </c>
      <c r="E9" s="6" t="str">
        <f>VLOOKUP($D9,date!$B$2:$E$376,2,FALSE)</f>
        <v>10.1039/b308034j</v>
      </c>
      <c r="F9" s="6">
        <f>VLOOKUP($D9,date!$B$2:$E$376,3,FALSE)</f>
        <v>1</v>
      </c>
      <c r="G9" s="6">
        <f>VLOOKUP($D9,date!$B$2:$E$376,4,FALSE)</f>
        <v>2003</v>
      </c>
      <c r="H9" s="6" t="s">
        <v>36</v>
      </c>
      <c r="I9" s="6" t="s">
        <v>23</v>
      </c>
      <c r="J9" s="6" t="s">
        <v>24</v>
      </c>
      <c r="K9" s="6" t="s">
        <v>40</v>
      </c>
      <c r="L9" s="6" t="s">
        <v>26</v>
      </c>
      <c r="M9" s="6" t="s">
        <v>27</v>
      </c>
      <c r="N9" s="6" t="s">
        <v>23</v>
      </c>
      <c r="O9" s="6" t="s">
        <v>23</v>
      </c>
      <c r="P9" s="7">
        <v>3.57</v>
      </c>
      <c r="Q9" s="6" t="s">
        <v>28</v>
      </c>
      <c r="R9" s="5">
        <v>135</v>
      </c>
      <c r="S9" s="7">
        <v>10.5</v>
      </c>
      <c r="T9" s="5">
        <v>41</v>
      </c>
      <c r="U9" s="6" t="s">
        <v>29</v>
      </c>
      <c r="V9" s="6" t="s">
        <v>30</v>
      </c>
      <c r="W9" s="6" t="s">
        <v>31</v>
      </c>
      <c r="X9" s="6" t="s">
        <v>41</v>
      </c>
    </row>
    <row r="10" spans="1:24" ht="18.75" customHeight="1">
      <c r="A10" s="2">
        <v>8</v>
      </c>
      <c r="B10" s="5">
        <v>99</v>
      </c>
      <c r="C10" s="6" t="s">
        <v>43</v>
      </c>
      <c r="D10" s="6" t="s">
        <v>21</v>
      </c>
      <c r="E10" s="6" t="str">
        <f>VLOOKUP($D10,date!$B$2:$E$376,2,FALSE)</f>
        <v>10.1039/b308034j</v>
      </c>
      <c r="F10" s="6">
        <f>VLOOKUP($D10,date!$B$2:$E$376,3,FALSE)</f>
        <v>1</v>
      </c>
      <c r="G10" s="6">
        <f>VLOOKUP($D10,date!$B$2:$E$376,4,FALSE)</f>
        <v>2003</v>
      </c>
      <c r="H10" s="6" t="s">
        <v>44</v>
      </c>
      <c r="I10" s="6" t="s">
        <v>23</v>
      </c>
      <c r="J10" s="6" t="s">
        <v>24</v>
      </c>
      <c r="K10" s="6" t="s">
        <v>25</v>
      </c>
      <c r="L10" s="6" t="s">
        <v>26</v>
      </c>
      <c r="M10" s="6" t="s">
        <v>27</v>
      </c>
      <c r="N10" s="6" t="s">
        <v>23</v>
      </c>
      <c r="O10" s="6" t="s">
        <v>23</v>
      </c>
      <c r="P10" s="7">
        <v>3.57</v>
      </c>
      <c r="Q10" s="6" t="s">
        <v>28</v>
      </c>
      <c r="R10" s="5">
        <v>110</v>
      </c>
      <c r="S10" s="7">
        <v>3.5</v>
      </c>
      <c r="T10" s="5">
        <v>80</v>
      </c>
      <c r="U10" s="6" t="s">
        <v>29</v>
      </c>
      <c r="V10" s="6" t="s">
        <v>30</v>
      </c>
      <c r="W10" s="6" t="s">
        <v>31</v>
      </c>
      <c r="X10" s="6" t="s">
        <v>32</v>
      </c>
    </row>
    <row r="11" spans="1:24" ht="18.75" customHeight="1">
      <c r="A11" s="2">
        <v>9</v>
      </c>
      <c r="B11" s="5">
        <v>100</v>
      </c>
      <c r="C11" s="6" t="s">
        <v>45</v>
      </c>
      <c r="D11" s="6" t="s">
        <v>21</v>
      </c>
      <c r="E11" s="6" t="str">
        <f>VLOOKUP($D11,date!$B$2:$E$376,2,FALSE)</f>
        <v>10.1039/b308034j</v>
      </c>
      <c r="F11" s="6">
        <f>VLOOKUP($D11,date!$B$2:$E$376,3,FALSE)</f>
        <v>1</v>
      </c>
      <c r="G11" s="6">
        <f>VLOOKUP($D11,date!$B$2:$E$376,4,FALSE)</f>
        <v>2003</v>
      </c>
      <c r="H11" s="6" t="s">
        <v>44</v>
      </c>
      <c r="I11" s="6" t="s">
        <v>23</v>
      </c>
      <c r="J11" s="6" t="s">
        <v>24</v>
      </c>
      <c r="K11" s="6" t="s">
        <v>25</v>
      </c>
      <c r="L11" s="6" t="s">
        <v>26</v>
      </c>
      <c r="M11" s="6" t="s">
        <v>27</v>
      </c>
      <c r="N11" s="6" t="s">
        <v>23</v>
      </c>
      <c r="O11" s="6" t="s">
        <v>23</v>
      </c>
      <c r="P11" s="7">
        <v>3.57</v>
      </c>
      <c r="Q11" s="6" t="s">
        <v>28</v>
      </c>
      <c r="R11" s="5">
        <v>110</v>
      </c>
      <c r="S11" s="7">
        <v>3.5</v>
      </c>
      <c r="T11" s="5">
        <v>93</v>
      </c>
      <c r="U11" s="6" t="s">
        <v>29</v>
      </c>
      <c r="V11" s="6" t="s">
        <v>30</v>
      </c>
      <c r="W11" s="6" t="s">
        <v>31</v>
      </c>
      <c r="X11" s="6" t="s">
        <v>32</v>
      </c>
    </row>
    <row r="12" spans="1:24" ht="18.75" customHeight="1">
      <c r="A12" s="2">
        <v>10</v>
      </c>
      <c r="B12" s="5">
        <v>101</v>
      </c>
      <c r="C12" s="6" t="s">
        <v>46</v>
      </c>
      <c r="D12" s="6" t="s">
        <v>21</v>
      </c>
      <c r="E12" s="6" t="str">
        <f>VLOOKUP($D12,date!$B$2:$E$376,2,FALSE)</f>
        <v>10.1039/b308034j</v>
      </c>
      <c r="F12" s="6">
        <f>VLOOKUP($D12,date!$B$2:$E$376,3,FALSE)</f>
        <v>1</v>
      </c>
      <c r="G12" s="6">
        <f>VLOOKUP($D12,date!$B$2:$E$376,4,FALSE)</f>
        <v>2003</v>
      </c>
      <c r="H12" s="6" t="s">
        <v>44</v>
      </c>
      <c r="I12" s="6" t="s">
        <v>23</v>
      </c>
      <c r="J12" s="6" t="s">
        <v>24</v>
      </c>
      <c r="K12" s="6" t="s">
        <v>25</v>
      </c>
      <c r="L12" s="6" t="s">
        <v>26</v>
      </c>
      <c r="M12" s="6" t="s">
        <v>27</v>
      </c>
      <c r="N12" s="6" t="s">
        <v>23</v>
      </c>
      <c r="O12" s="6" t="s">
        <v>23</v>
      </c>
      <c r="P12" s="7">
        <v>3.57</v>
      </c>
      <c r="Q12" s="6" t="s">
        <v>28</v>
      </c>
      <c r="R12" s="5">
        <v>110</v>
      </c>
      <c r="S12" s="7">
        <v>3.5</v>
      </c>
      <c r="T12" s="5">
        <v>88</v>
      </c>
      <c r="U12" s="6" t="s">
        <v>29</v>
      </c>
      <c r="V12" s="6" t="s">
        <v>30</v>
      </c>
      <c r="W12" s="6" t="s">
        <v>31</v>
      </c>
      <c r="X12" s="6" t="s">
        <v>32</v>
      </c>
    </row>
    <row r="13" spans="1:24" ht="18.75" customHeight="1">
      <c r="A13" s="2">
        <v>11</v>
      </c>
      <c r="B13" s="5">
        <v>102</v>
      </c>
      <c r="C13" s="6" t="s">
        <v>47</v>
      </c>
      <c r="D13" s="6" t="s">
        <v>21</v>
      </c>
      <c r="E13" s="6" t="str">
        <f>VLOOKUP($D13,date!$B$2:$E$376,2,FALSE)</f>
        <v>10.1039/b308034j</v>
      </c>
      <c r="F13" s="6">
        <f>VLOOKUP($D13,date!$B$2:$E$376,3,FALSE)</f>
        <v>1</v>
      </c>
      <c r="G13" s="6">
        <f>VLOOKUP($D13,date!$B$2:$E$376,4,FALSE)</f>
        <v>2003</v>
      </c>
      <c r="H13" s="6" t="s">
        <v>44</v>
      </c>
      <c r="I13" s="6" t="s">
        <v>23</v>
      </c>
      <c r="J13" s="6" t="s">
        <v>24</v>
      </c>
      <c r="K13" s="6" t="s">
        <v>40</v>
      </c>
      <c r="L13" s="6" t="s">
        <v>26</v>
      </c>
      <c r="M13" s="6" t="s">
        <v>27</v>
      </c>
      <c r="N13" s="6" t="s">
        <v>23</v>
      </c>
      <c r="O13" s="6" t="s">
        <v>23</v>
      </c>
      <c r="P13" s="7">
        <v>3.57</v>
      </c>
      <c r="Q13" s="6" t="s">
        <v>28</v>
      </c>
      <c r="R13" s="5">
        <v>135</v>
      </c>
      <c r="S13" s="7">
        <v>10.5</v>
      </c>
      <c r="T13" s="5">
        <v>92</v>
      </c>
      <c r="U13" s="6" t="s">
        <v>29</v>
      </c>
      <c r="V13" s="6" t="s">
        <v>30</v>
      </c>
      <c r="W13" s="6" t="s">
        <v>31</v>
      </c>
      <c r="X13" s="6" t="s">
        <v>41</v>
      </c>
    </row>
    <row r="14" spans="1:24" ht="18.75" customHeight="1">
      <c r="A14" s="2">
        <v>12</v>
      </c>
      <c r="B14" s="5">
        <v>103</v>
      </c>
      <c r="C14" s="6" t="s">
        <v>48</v>
      </c>
      <c r="D14" s="6" t="s">
        <v>21</v>
      </c>
      <c r="E14" s="6" t="str">
        <f>VLOOKUP($D14,date!$B$2:$E$376,2,FALSE)</f>
        <v>10.1039/b308034j</v>
      </c>
      <c r="F14" s="6">
        <f>VLOOKUP($D14,date!$B$2:$E$376,3,FALSE)</f>
        <v>1</v>
      </c>
      <c r="G14" s="6">
        <f>VLOOKUP($D14,date!$B$2:$E$376,4,FALSE)</f>
        <v>2003</v>
      </c>
      <c r="H14" s="6" t="s">
        <v>44</v>
      </c>
      <c r="I14" s="6" t="s">
        <v>23</v>
      </c>
      <c r="J14" s="6" t="s">
        <v>24</v>
      </c>
      <c r="K14" s="6" t="s">
        <v>40</v>
      </c>
      <c r="L14" s="6" t="s">
        <v>26</v>
      </c>
      <c r="M14" s="6" t="s">
        <v>27</v>
      </c>
      <c r="N14" s="6" t="s">
        <v>23</v>
      </c>
      <c r="O14" s="6" t="s">
        <v>23</v>
      </c>
      <c r="P14" s="7">
        <v>3.57</v>
      </c>
      <c r="Q14" s="6" t="s">
        <v>28</v>
      </c>
      <c r="R14" s="5">
        <v>135</v>
      </c>
      <c r="S14" s="7">
        <v>10.5</v>
      </c>
      <c r="T14" s="5">
        <v>87</v>
      </c>
      <c r="U14" s="6" t="s">
        <v>29</v>
      </c>
      <c r="V14" s="6" t="s">
        <v>30</v>
      </c>
      <c r="W14" s="6" t="s">
        <v>31</v>
      </c>
      <c r="X14" s="6" t="s">
        <v>41</v>
      </c>
    </row>
    <row r="15" spans="1:24" ht="18.75" customHeight="1">
      <c r="A15" s="2">
        <v>13</v>
      </c>
      <c r="B15" s="5">
        <v>104</v>
      </c>
      <c r="C15" s="6" t="s">
        <v>49</v>
      </c>
      <c r="D15" s="6" t="s">
        <v>21</v>
      </c>
      <c r="E15" s="6" t="str">
        <f>VLOOKUP($D15,date!$B$2:$E$376,2,FALSE)</f>
        <v>10.1039/b308034j</v>
      </c>
      <c r="F15" s="6">
        <f>VLOOKUP($D15,date!$B$2:$E$376,3,FALSE)</f>
        <v>1</v>
      </c>
      <c r="G15" s="6">
        <f>VLOOKUP($D15,date!$B$2:$E$376,4,FALSE)</f>
        <v>2003</v>
      </c>
      <c r="H15" s="6" t="s">
        <v>44</v>
      </c>
      <c r="I15" s="6" t="s">
        <v>23</v>
      </c>
      <c r="J15" s="6" t="s">
        <v>24</v>
      </c>
      <c r="K15" s="6" t="s">
        <v>50</v>
      </c>
      <c r="L15" s="6" t="s">
        <v>26</v>
      </c>
      <c r="M15" s="6" t="s">
        <v>27</v>
      </c>
      <c r="N15" s="6" t="s">
        <v>23</v>
      </c>
      <c r="O15" s="6" t="s">
        <v>23</v>
      </c>
      <c r="P15" s="7">
        <v>3.57</v>
      </c>
      <c r="Q15" s="6" t="s">
        <v>28</v>
      </c>
      <c r="R15" s="5">
        <v>135</v>
      </c>
      <c r="S15" s="7">
        <v>10.5</v>
      </c>
      <c r="T15" s="5">
        <v>82</v>
      </c>
      <c r="U15" s="6" t="s">
        <v>29</v>
      </c>
      <c r="V15" s="6" t="s">
        <v>30</v>
      </c>
      <c r="W15" s="6" t="s">
        <v>31</v>
      </c>
      <c r="X15" s="6" t="s">
        <v>51</v>
      </c>
    </row>
    <row r="16" spans="1:24" ht="18.75" customHeight="1">
      <c r="A16" s="2">
        <v>14</v>
      </c>
      <c r="B16" s="5">
        <v>105</v>
      </c>
      <c r="C16" s="6" t="s">
        <v>52</v>
      </c>
      <c r="D16" s="6" t="s">
        <v>21</v>
      </c>
      <c r="E16" s="6" t="str">
        <f>VLOOKUP($D16,date!$B$2:$E$376,2,FALSE)</f>
        <v>10.1039/b308034j</v>
      </c>
      <c r="F16" s="6">
        <f>VLOOKUP($D16,date!$B$2:$E$376,3,FALSE)</f>
        <v>1</v>
      </c>
      <c r="G16" s="6">
        <f>VLOOKUP($D16,date!$B$2:$E$376,4,FALSE)</f>
        <v>2003</v>
      </c>
      <c r="H16" s="6" t="s">
        <v>44</v>
      </c>
      <c r="I16" s="6" t="s">
        <v>23</v>
      </c>
      <c r="J16" s="6" t="s">
        <v>24</v>
      </c>
      <c r="K16" s="6" t="s">
        <v>53</v>
      </c>
      <c r="L16" s="6" t="s">
        <v>26</v>
      </c>
      <c r="M16" s="6" t="s">
        <v>54</v>
      </c>
      <c r="N16" s="6" t="s">
        <v>23</v>
      </c>
      <c r="O16" s="6" t="s">
        <v>23</v>
      </c>
      <c r="P16" s="7">
        <v>3.57</v>
      </c>
      <c r="Q16" s="6" t="s">
        <v>28</v>
      </c>
      <c r="R16" s="5">
        <v>135</v>
      </c>
      <c r="S16" s="7">
        <v>10.5</v>
      </c>
      <c r="T16" s="5">
        <v>84</v>
      </c>
      <c r="U16" s="6" t="s">
        <v>29</v>
      </c>
      <c r="V16" s="6" t="s">
        <v>30</v>
      </c>
      <c r="W16" s="6" t="s">
        <v>31</v>
      </c>
      <c r="X16" s="6" t="s">
        <v>55</v>
      </c>
    </row>
    <row r="17" spans="1:24" ht="18.75" customHeight="1">
      <c r="A17" s="2">
        <v>15</v>
      </c>
      <c r="B17" s="5">
        <v>106</v>
      </c>
      <c r="C17" s="6" t="s">
        <v>56</v>
      </c>
      <c r="D17" s="6" t="s">
        <v>21</v>
      </c>
      <c r="E17" s="6" t="str">
        <f>VLOOKUP($D17,date!$B$2:$E$376,2,FALSE)</f>
        <v>10.1039/b308034j</v>
      </c>
      <c r="F17" s="6">
        <f>VLOOKUP($D17,date!$B$2:$E$376,3,FALSE)</f>
        <v>1</v>
      </c>
      <c r="G17" s="6">
        <f>VLOOKUP($D17,date!$B$2:$E$376,4,FALSE)</f>
        <v>2003</v>
      </c>
      <c r="H17" s="6" t="s">
        <v>44</v>
      </c>
      <c r="I17" s="6" t="s">
        <v>23</v>
      </c>
      <c r="J17" s="6" t="s">
        <v>24</v>
      </c>
      <c r="K17" s="6" t="s">
        <v>57</v>
      </c>
      <c r="L17" s="6" t="s">
        <v>26</v>
      </c>
      <c r="M17" s="6" t="s">
        <v>58</v>
      </c>
      <c r="N17" s="6" t="s">
        <v>23</v>
      </c>
      <c r="O17" s="6" t="s">
        <v>23</v>
      </c>
      <c r="P17" s="7">
        <v>3.57</v>
      </c>
      <c r="Q17" s="6" t="s">
        <v>28</v>
      </c>
      <c r="R17" s="5">
        <v>135</v>
      </c>
      <c r="S17" s="7">
        <v>10.5</v>
      </c>
      <c r="T17" s="5">
        <v>80</v>
      </c>
      <c r="U17" s="6" t="s">
        <v>29</v>
      </c>
      <c r="V17" s="6" t="s">
        <v>30</v>
      </c>
      <c r="W17" s="6" t="s">
        <v>31</v>
      </c>
      <c r="X17" s="6" t="s">
        <v>59</v>
      </c>
    </row>
    <row r="18" spans="1:24" ht="18.75" customHeight="1">
      <c r="A18" s="2">
        <v>16</v>
      </c>
      <c r="B18" s="5">
        <v>107</v>
      </c>
      <c r="C18" s="6" t="s">
        <v>60</v>
      </c>
      <c r="D18" s="6" t="s">
        <v>21</v>
      </c>
      <c r="E18" s="6" t="str">
        <f>VLOOKUP($D18,date!$B$2:$E$376,2,FALSE)</f>
        <v>10.1039/b308034j</v>
      </c>
      <c r="F18" s="6">
        <f>VLOOKUP($D18,date!$B$2:$E$376,3,FALSE)</f>
        <v>1</v>
      </c>
      <c r="G18" s="6">
        <f>VLOOKUP($D18,date!$B$2:$E$376,4,FALSE)</f>
        <v>2003</v>
      </c>
      <c r="H18" s="6" t="s">
        <v>44</v>
      </c>
      <c r="I18" s="6" t="s">
        <v>23</v>
      </c>
      <c r="J18" s="6" t="s">
        <v>24</v>
      </c>
      <c r="K18" s="6" t="s">
        <v>53</v>
      </c>
      <c r="L18" s="6" t="s">
        <v>61</v>
      </c>
      <c r="M18" s="6" t="s">
        <v>62</v>
      </c>
      <c r="N18" s="6" t="s">
        <v>23</v>
      </c>
      <c r="O18" s="6" t="s">
        <v>23</v>
      </c>
      <c r="P18" s="7">
        <v>3.57</v>
      </c>
      <c r="Q18" s="6" t="s">
        <v>28</v>
      </c>
      <c r="R18" s="5">
        <v>135</v>
      </c>
      <c r="S18" s="7">
        <v>10.5</v>
      </c>
      <c r="T18" s="5">
        <v>87</v>
      </c>
      <c r="U18" s="6" t="s">
        <v>29</v>
      </c>
      <c r="V18" s="6" t="s">
        <v>30</v>
      </c>
      <c r="W18" s="6" t="s">
        <v>31</v>
      </c>
      <c r="X18" s="6" t="s">
        <v>63</v>
      </c>
    </row>
    <row r="19" spans="1:24" ht="18.75" customHeight="1">
      <c r="A19" s="2">
        <v>17</v>
      </c>
      <c r="B19" s="5">
        <v>108</v>
      </c>
      <c r="C19" s="6" t="s">
        <v>64</v>
      </c>
      <c r="D19" s="6" t="s">
        <v>21</v>
      </c>
      <c r="E19" s="6" t="str">
        <f>VLOOKUP($D19,date!$B$2:$E$376,2,FALSE)</f>
        <v>10.1039/b308034j</v>
      </c>
      <c r="F19" s="6">
        <f>VLOOKUP($D19,date!$B$2:$E$376,3,FALSE)</f>
        <v>1</v>
      </c>
      <c r="G19" s="6">
        <f>VLOOKUP($D19,date!$B$2:$E$376,4,FALSE)</f>
        <v>2003</v>
      </c>
      <c r="H19" s="6" t="s">
        <v>44</v>
      </c>
      <c r="I19" s="6" t="s">
        <v>23</v>
      </c>
      <c r="J19" s="6" t="s">
        <v>24</v>
      </c>
      <c r="K19" s="6" t="s">
        <v>50</v>
      </c>
      <c r="L19" s="6" t="s">
        <v>61</v>
      </c>
      <c r="M19" s="6" t="s">
        <v>65</v>
      </c>
      <c r="N19" s="6" t="s">
        <v>23</v>
      </c>
      <c r="O19" s="6" t="s">
        <v>23</v>
      </c>
      <c r="P19" s="7">
        <v>3.57</v>
      </c>
      <c r="Q19" s="6" t="s">
        <v>28</v>
      </c>
      <c r="R19" s="5">
        <v>135</v>
      </c>
      <c r="S19" s="7">
        <v>10.5</v>
      </c>
      <c r="T19" s="5">
        <v>85</v>
      </c>
      <c r="U19" s="6" t="s">
        <v>29</v>
      </c>
      <c r="V19" s="6" t="s">
        <v>30</v>
      </c>
      <c r="W19" s="6" t="s">
        <v>31</v>
      </c>
      <c r="X19" s="6" t="s">
        <v>66</v>
      </c>
    </row>
    <row r="20" spans="1:24" ht="18.75" customHeight="1">
      <c r="A20" s="2">
        <v>18</v>
      </c>
      <c r="B20" s="5">
        <v>109</v>
      </c>
      <c r="C20" s="6" t="s">
        <v>67</v>
      </c>
      <c r="D20" s="6" t="s">
        <v>21</v>
      </c>
      <c r="E20" s="6" t="str">
        <f>VLOOKUP($D20,date!$B$2:$E$376,2,FALSE)</f>
        <v>10.1039/b308034j</v>
      </c>
      <c r="F20" s="6">
        <f>VLOOKUP($D20,date!$B$2:$E$376,3,FALSE)</f>
        <v>1</v>
      </c>
      <c r="G20" s="6">
        <f>VLOOKUP($D20,date!$B$2:$E$376,4,FALSE)</f>
        <v>2003</v>
      </c>
      <c r="H20" s="6" t="s">
        <v>44</v>
      </c>
      <c r="I20" s="6" t="s">
        <v>23</v>
      </c>
      <c r="J20" s="6" t="s">
        <v>24</v>
      </c>
      <c r="K20" s="6" t="s">
        <v>50</v>
      </c>
      <c r="L20" s="6" t="s">
        <v>68</v>
      </c>
      <c r="M20" s="6" t="s">
        <v>69</v>
      </c>
      <c r="N20" s="6" t="s">
        <v>23</v>
      </c>
      <c r="O20" s="6" t="s">
        <v>23</v>
      </c>
      <c r="P20" s="7">
        <v>3.57</v>
      </c>
      <c r="Q20" s="6" t="s">
        <v>28</v>
      </c>
      <c r="R20" s="5">
        <v>135</v>
      </c>
      <c r="S20" s="7">
        <v>10.5</v>
      </c>
      <c r="T20" s="5">
        <v>80</v>
      </c>
      <c r="U20" s="6" t="s">
        <v>29</v>
      </c>
      <c r="V20" s="6" t="s">
        <v>30</v>
      </c>
      <c r="W20" s="6" t="s">
        <v>31</v>
      </c>
      <c r="X20" s="6" t="s">
        <v>70</v>
      </c>
    </row>
    <row r="21" spans="1:24" ht="18.75" customHeight="1">
      <c r="A21" s="2">
        <v>19</v>
      </c>
      <c r="B21" s="5">
        <v>110</v>
      </c>
      <c r="C21" s="6" t="s">
        <v>71</v>
      </c>
      <c r="D21" s="6" t="s">
        <v>21</v>
      </c>
      <c r="E21" s="6" t="str">
        <f>VLOOKUP($D21,date!$B$2:$E$376,2,FALSE)</f>
        <v>10.1039/b308034j</v>
      </c>
      <c r="F21" s="6">
        <f>VLOOKUP($D21,date!$B$2:$E$376,3,FALSE)</f>
        <v>1</v>
      </c>
      <c r="G21" s="6">
        <f>VLOOKUP($D21,date!$B$2:$E$376,4,FALSE)</f>
        <v>2003</v>
      </c>
      <c r="H21" s="6" t="s">
        <v>44</v>
      </c>
      <c r="I21" s="6" t="s">
        <v>23</v>
      </c>
      <c r="J21" s="6" t="s">
        <v>24</v>
      </c>
      <c r="K21" s="6" t="s">
        <v>40</v>
      </c>
      <c r="L21" s="6" t="s">
        <v>61</v>
      </c>
      <c r="M21" s="6" t="s">
        <v>65</v>
      </c>
      <c r="N21" s="6" t="s">
        <v>23</v>
      </c>
      <c r="O21" s="6" t="s">
        <v>23</v>
      </c>
      <c r="P21" s="7">
        <v>3.57</v>
      </c>
      <c r="Q21" s="6" t="s">
        <v>28</v>
      </c>
      <c r="R21" s="5">
        <v>135</v>
      </c>
      <c r="S21" s="7">
        <v>10.5</v>
      </c>
      <c r="T21" s="5">
        <v>86</v>
      </c>
      <c r="U21" s="6" t="s">
        <v>29</v>
      </c>
      <c r="V21" s="6" t="s">
        <v>30</v>
      </c>
      <c r="W21" s="6" t="s">
        <v>31</v>
      </c>
      <c r="X21" s="6" t="s">
        <v>72</v>
      </c>
    </row>
    <row r="22" spans="1:24" ht="18.75" customHeight="1">
      <c r="A22" s="2">
        <v>20</v>
      </c>
      <c r="B22" s="5">
        <v>111</v>
      </c>
      <c r="C22" s="6" t="s">
        <v>73</v>
      </c>
      <c r="D22" s="6" t="s">
        <v>21</v>
      </c>
      <c r="E22" s="6" t="str">
        <f>VLOOKUP($D22,date!$B$2:$E$376,2,FALSE)</f>
        <v>10.1039/b308034j</v>
      </c>
      <c r="F22" s="6">
        <f>VLOOKUP($D22,date!$B$2:$E$376,3,FALSE)</f>
        <v>1</v>
      </c>
      <c r="G22" s="6">
        <f>VLOOKUP($D22,date!$B$2:$E$376,4,FALSE)</f>
        <v>2003</v>
      </c>
      <c r="H22" s="6" t="s">
        <v>44</v>
      </c>
      <c r="I22" s="6" t="s">
        <v>23</v>
      </c>
      <c r="J22" s="6" t="s">
        <v>24</v>
      </c>
      <c r="K22" s="6" t="s">
        <v>40</v>
      </c>
      <c r="L22" s="6" t="s">
        <v>68</v>
      </c>
      <c r="M22" s="6" t="s">
        <v>69</v>
      </c>
      <c r="N22" s="6" t="s">
        <v>23</v>
      </c>
      <c r="O22" s="6" t="s">
        <v>23</v>
      </c>
      <c r="P22" s="7">
        <v>3.57</v>
      </c>
      <c r="Q22" s="6" t="s">
        <v>28</v>
      </c>
      <c r="R22" s="5">
        <v>135</v>
      </c>
      <c r="S22" s="7">
        <v>10.5</v>
      </c>
      <c r="T22" s="5">
        <v>82</v>
      </c>
      <c r="U22" s="6" t="s">
        <v>29</v>
      </c>
      <c r="V22" s="6" t="s">
        <v>30</v>
      </c>
      <c r="W22" s="6" t="s">
        <v>31</v>
      </c>
      <c r="X22" s="6" t="s">
        <v>74</v>
      </c>
    </row>
    <row r="23" spans="1:24" ht="18.75" customHeight="1">
      <c r="A23" s="2">
        <v>21</v>
      </c>
      <c r="B23" s="5">
        <v>112</v>
      </c>
      <c r="C23" s="6" t="s">
        <v>75</v>
      </c>
      <c r="D23" s="6" t="s">
        <v>21</v>
      </c>
      <c r="E23" s="6" t="str">
        <f>VLOOKUP($D23,date!$B$2:$E$376,2,FALSE)</f>
        <v>10.1039/b308034j</v>
      </c>
      <c r="F23" s="6">
        <f>VLOOKUP($D23,date!$B$2:$E$376,3,FALSE)</f>
        <v>1</v>
      </c>
      <c r="G23" s="6">
        <f>VLOOKUP($D23,date!$B$2:$E$376,4,FALSE)</f>
        <v>2003</v>
      </c>
      <c r="H23" s="6" t="s">
        <v>44</v>
      </c>
      <c r="I23" s="6" t="s">
        <v>23</v>
      </c>
      <c r="J23" s="6" t="s">
        <v>24</v>
      </c>
      <c r="K23" s="6" t="s">
        <v>76</v>
      </c>
      <c r="L23" s="6" t="s">
        <v>26</v>
      </c>
      <c r="M23" s="6" t="s">
        <v>58</v>
      </c>
      <c r="N23" s="6" t="s">
        <v>23</v>
      </c>
      <c r="O23" s="6" t="s">
        <v>23</v>
      </c>
      <c r="P23" s="7">
        <v>3.57</v>
      </c>
      <c r="Q23" s="6" t="s">
        <v>28</v>
      </c>
      <c r="R23" s="5">
        <v>135</v>
      </c>
      <c r="S23" s="7">
        <v>10.5</v>
      </c>
      <c r="T23" s="5">
        <v>85</v>
      </c>
      <c r="U23" s="6" t="s">
        <v>29</v>
      </c>
      <c r="V23" s="6" t="s">
        <v>30</v>
      </c>
      <c r="W23" s="6" t="s">
        <v>31</v>
      </c>
      <c r="X23" s="6" t="s">
        <v>77</v>
      </c>
    </row>
    <row r="24" spans="1:24" ht="17.25" customHeight="1">
      <c r="A24" s="2">
        <v>22</v>
      </c>
      <c r="B24" s="5">
        <v>113</v>
      </c>
      <c r="C24" s="6" t="s">
        <v>78</v>
      </c>
      <c r="D24" s="6" t="s">
        <v>21</v>
      </c>
      <c r="E24" s="6" t="str">
        <f>VLOOKUP($D24,date!$B$2:$E$376,2,FALSE)</f>
        <v>10.1039/b308034j</v>
      </c>
      <c r="F24" s="6">
        <f>VLOOKUP($D24,date!$B$2:$E$376,3,FALSE)</f>
        <v>1</v>
      </c>
      <c r="G24" s="6">
        <f>VLOOKUP($D24,date!$B$2:$E$376,4,FALSE)</f>
        <v>2003</v>
      </c>
      <c r="H24" s="6" t="s">
        <v>44</v>
      </c>
      <c r="I24" s="6" t="s">
        <v>23</v>
      </c>
      <c r="J24" s="6" t="s">
        <v>24</v>
      </c>
      <c r="K24" s="6" t="s">
        <v>76</v>
      </c>
      <c r="L24" s="6" t="s">
        <v>61</v>
      </c>
      <c r="M24" s="6" t="s">
        <v>62</v>
      </c>
      <c r="N24" s="6" t="s">
        <v>23</v>
      </c>
      <c r="O24" s="6" t="s">
        <v>23</v>
      </c>
      <c r="P24" s="7">
        <v>3.57</v>
      </c>
      <c r="Q24" s="6" t="s">
        <v>28</v>
      </c>
      <c r="R24" s="5">
        <v>135</v>
      </c>
      <c r="S24" s="7">
        <v>10.5</v>
      </c>
      <c r="T24" s="5">
        <v>87</v>
      </c>
      <c r="U24" s="6" t="s">
        <v>29</v>
      </c>
      <c r="V24" s="6" t="s">
        <v>30</v>
      </c>
      <c r="W24" s="6" t="s">
        <v>31</v>
      </c>
      <c r="X24" s="6" t="s">
        <v>79</v>
      </c>
    </row>
    <row r="25" spans="1:24" ht="17.25" customHeight="1">
      <c r="A25" s="2">
        <v>23</v>
      </c>
      <c r="B25" s="5">
        <v>114</v>
      </c>
      <c r="C25" s="6" t="s">
        <v>80</v>
      </c>
      <c r="D25" s="6" t="s">
        <v>21</v>
      </c>
      <c r="E25" s="6" t="str">
        <f>VLOOKUP($D25,date!$B$2:$E$376,2,FALSE)</f>
        <v>10.1039/b308034j</v>
      </c>
      <c r="F25" s="6">
        <f>VLOOKUP($D25,date!$B$2:$E$376,3,FALSE)</f>
        <v>1</v>
      </c>
      <c r="G25" s="6">
        <f>VLOOKUP($D25,date!$B$2:$E$376,4,FALSE)</f>
        <v>2003</v>
      </c>
      <c r="H25" s="6" t="s">
        <v>44</v>
      </c>
      <c r="I25" s="6" t="s">
        <v>23</v>
      </c>
      <c r="J25" s="6" t="s">
        <v>24</v>
      </c>
      <c r="K25" s="6" t="s">
        <v>40</v>
      </c>
      <c r="L25" s="6" t="s">
        <v>81</v>
      </c>
      <c r="M25" s="6" t="s">
        <v>82</v>
      </c>
      <c r="N25" s="6" t="s">
        <v>23</v>
      </c>
      <c r="O25" s="6" t="s">
        <v>23</v>
      </c>
      <c r="P25" s="7">
        <v>3.57</v>
      </c>
      <c r="Q25" s="6" t="s">
        <v>28</v>
      </c>
      <c r="R25" s="5">
        <v>135</v>
      </c>
      <c r="S25" s="7">
        <v>10.5</v>
      </c>
      <c r="T25" s="5">
        <v>35</v>
      </c>
      <c r="U25" s="6" t="s">
        <v>29</v>
      </c>
      <c r="V25" s="6" t="s">
        <v>30</v>
      </c>
      <c r="W25" s="6" t="s">
        <v>31</v>
      </c>
      <c r="X25" s="6" t="s">
        <v>83</v>
      </c>
    </row>
    <row r="26" spans="1:24" ht="17.25" customHeight="1">
      <c r="A26" s="2">
        <v>24</v>
      </c>
      <c r="B26" s="5">
        <v>115</v>
      </c>
      <c r="C26" s="6" t="s">
        <v>84</v>
      </c>
      <c r="D26" s="6" t="s">
        <v>21</v>
      </c>
      <c r="E26" s="6" t="str">
        <f>VLOOKUP($D26,date!$B$2:$E$376,2,FALSE)</f>
        <v>10.1039/b308034j</v>
      </c>
      <c r="F26" s="6">
        <f>VLOOKUP($D26,date!$B$2:$E$376,3,FALSE)</f>
        <v>1</v>
      </c>
      <c r="G26" s="6">
        <f>VLOOKUP($D26,date!$B$2:$E$376,4,FALSE)</f>
        <v>2003</v>
      </c>
      <c r="H26" s="6" t="s">
        <v>44</v>
      </c>
      <c r="I26" s="6" t="s">
        <v>23</v>
      </c>
      <c r="J26" s="6" t="s">
        <v>24</v>
      </c>
      <c r="K26" s="6" t="s">
        <v>50</v>
      </c>
      <c r="L26" s="6" t="s">
        <v>81</v>
      </c>
      <c r="M26" s="6" t="s">
        <v>82</v>
      </c>
      <c r="N26" s="6" t="s">
        <v>23</v>
      </c>
      <c r="O26" s="6" t="s">
        <v>23</v>
      </c>
      <c r="P26" s="7">
        <v>3.57</v>
      </c>
      <c r="Q26" s="6" t="s">
        <v>28</v>
      </c>
      <c r="R26" s="5">
        <v>135</v>
      </c>
      <c r="S26" s="7">
        <v>10.5</v>
      </c>
      <c r="T26" s="5">
        <v>31</v>
      </c>
      <c r="U26" s="6" t="s">
        <v>29</v>
      </c>
      <c r="V26" s="6" t="s">
        <v>30</v>
      </c>
      <c r="W26" s="6" t="s">
        <v>31</v>
      </c>
      <c r="X26" s="6" t="s">
        <v>85</v>
      </c>
    </row>
    <row r="27" spans="1:24" ht="17.25" customHeight="1">
      <c r="A27" s="2">
        <v>25</v>
      </c>
      <c r="B27" s="5">
        <v>116</v>
      </c>
      <c r="C27" s="6" t="s">
        <v>86</v>
      </c>
      <c r="D27" s="6" t="s">
        <v>21</v>
      </c>
      <c r="E27" s="6" t="str">
        <f>VLOOKUP($D27,date!$B$2:$E$376,2,FALSE)</f>
        <v>10.1039/b308034j</v>
      </c>
      <c r="F27" s="6">
        <f>VLOOKUP($D27,date!$B$2:$E$376,3,FALSE)</f>
        <v>1</v>
      </c>
      <c r="G27" s="6">
        <f>VLOOKUP($D27,date!$B$2:$E$376,4,FALSE)</f>
        <v>2003</v>
      </c>
      <c r="H27" s="6" t="s">
        <v>44</v>
      </c>
      <c r="I27" s="6" t="s">
        <v>23</v>
      </c>
      <c r="J27" s="6" t="s">
        <v>24</v>
      </c>
      <c r="K27" s="6" t="s">
        <v>87</v>
      </c>
      <c r="L27" s="6" t="s">
        <v>26</v>
      </c>
      <c r="M27" s="6" t="s">
        <v>88</v>
      </c>
      <c r="N27" s="6" t="s">
        <v>23</v>
      </c>
      <c r="O27" s="6" t="s">
        <v>23</v>
      </c>
      <c r="P27" s="7">
        <v>3.57</v>
      </c>
      <c r="Q27" s="6" t="s">
        <v>28</v>
      </c>
      <c r="R27" s="5">
        <v>135</v>
      </c>
      <c r="S27" s="7">
        <v>10.5</v>
      </c>
      <c r="T27" s="5">
        <v>41</v>
      </c>
      <c r="U27" s="6" t="s">
        <v>29</v>
      </c>
      <c r="V27" s="6" t="s">
        <v>30</v>
      </c>
      <c r="W27" s="6" t="s">
        <v>31</v>
      </c>
      <c r="X27" s="6" t="s">
        <v>89</v>
      </c>
    </row>
    <row r="28" spans="1:24" ht="17.25" customHeight="1">
      <c r="A28" s="2">
        <v>26</v>
      </c>
      <c r="B28" s="5">
        <v>117</v>
      </c>
      <c r="C28" s="6" t="s">
        <v>90</v>
      </c>
      <c r="D28" s="6" t="s">
        <v>21</v>
      </c>
      <c r="E28" s="6" t="str">
        <f>VLOOKUP($D28,date!$B$2:$E$376,2,FALSE)</f>
        <v>10.1039/b308034j</v>
      </c>
      <c r="F28" s="6">
        <f>VLOOKUP($D28,date!$B$2:$E$376,3,FALSE)</f>
        <v>1</v>
      </c>
      <c r="G28" s="6">
        <f>VLOOKUP($D28,date!$B$2:$E$376,4,FALSE)</f>
        <v>2003</v>
      </c>
      <c r="H28" s="6" t="s">
        <v>44</v>
      </c>
      <c r="I28" s="6" t="s">
        <v>23</v>
      </c>
      <c r="J28" s="6" t="s">
        <v>24</v>
      </c>
      <c r="K28" s="6" t="s">
        <v>87</v>
      </c>
      <c r="L28" s="6" t="s">
        <v>81</v>
      </c>
      <c r="M28" s="6" t="s">
        <v>91</v>
      </c>
      <c r="N28" s="6" t="s">
        <v>23</v>
      </c>
      <c r="O28" s="6" t="s">
        <v>23</v>
      </c>
      <c r="P28" s="7">
        <v>3.57</v>
      </c>
      <c r="Q28" s="6" t="s">
        <v>28</v>
      </c>
      <c r="R28" s="5">
        <v>135</v>
      </c>
      <c r="S28" s="7">
        <v>10.5</v>
      </c>
      <c r="T28" s="5">
        <v>29</v>
      </c>
      <c r="U28" s="6" t="s">
        <v>29</v>
      </c>
      <c r="V28" s="6" t="s">
        <v>30</v>
      </c>
      <c r="W28" s="6" t="s">
        <v>31</v>
      </c>
      <c r="X28" s="6" t="s">
        <v>92</v>
      </c>
    </row>
    <row r="29" spans="1:24" ht="17.25" customHeight="1">
      <c r="A29" s="2">
        <v>27</v>
      </c>
      <c r="B29" s="5">
        <v>129</v>
      </c>
      <c r="C29" s="6" t="s">
        <v>93</v>
      </c>
      <c r="D29" s="6" t="s">
        <v>94</v>
      </c>
      <c r="E29" s="6" t="str">
        <f>VLOOKUP($D29,date!$B$2:$E$376,2,FALSE)</f>
        <v>10.1016/j.tet.2015.08.066</v>
      </c>
      <c r="F29" s="6">
        <f>VLOOKUP($D29,date!$B$2:$E$376,3,FALSE)</f>
        <v>11</v>
      </c>
      <c r="G29" s="6">
        <f>VLOOKUP($D29,date!$B$2:$E$376,4,FALSE)</f>
        <v>2015</v>
      </c>
      <c r="H29" s="6" t="s">
        <v>95</v>
      </c>
      <c r="I29" s="6" t="s">
        <v>23</v>
      </c>
      <c r="J29" s="6" t="s">
        <v>96</v>
      </c>
      <c r="K29" s="6" t="s">
        <v>25</v>
      </c>
      <c r="L29" s="6" t="s">
        <v>97</v>
      </c>
      <c r="M29" s="6" t="s">
        <v>98</v>
      </c>
      <c r="N29" s="6" t="s">
        <v>99</v>
      </c>
      <c r="O29" s="6" t="s">
        <v>23</v>
      </c>
      <c r="P29" s="5">
        <v>5</v>
      </c>
      <c r="Q29" s="6" t="s">
        <v>100</v>
      </c>
      <c r="R29" s="5">
        <v>120</v>
      </c>
      <c r="S29" s="5">
        <v>24</v>
      </c>
      <c r="T29" s="5">
        <v>86</v>
      </c>
      <c r="U29" s="6" t="s">
        <v>23</v>
      </c>
      <c r="V29" s="6" t="s">
        <v>23</v>
      </c>
      <c r="W29" s="6" t="s">
        <v>31</v>
      </c>
      <c r="X29" s="6" t="s">
        <v>101</v>
      </c>
    </row>
    <row r="30" spans="1:24" ht="17.25" customHeight="1">
      <c r="A30" s="2">
        <v>28</v>
      </c>
      <c r="B30" s="5">
        <v>130</v>
      </c>
      <c r="C30" s="6" t="s">
        <v>102</v>
      </c>
      <c r="D30" s="6" t="s">
        <v>94</v>
      </c>
      <c r="E30" s="6" t="str">
        <f>VLOOKUP($D30,date!$B$2:$E$376,2,FALSE)</f>
        <v>10.1016/j.tet.2015.08.066</v>
      </c>
      <c r="F30" s="6">
        <f>VLOOKUP($D30,date!$B$2:$E$376,3,FALSE)</f>
        <v>11</v>
      </c>
      <c r="G30" s="6">
        <f>VLOOKUP($D30,date!$B$2:$E$376,4,FALSE)</f>
        <v>2015</v>
      </c>
      <c r="H30" s="6" t="s">
        <v>22</v>
      </c>
      <c r="I30" s="6" t="s">
        <v>23</v>
      </c>
      <c r="J30" s="6" t="s">
        <v>96</v>
      </c>
      <c r="K30" s="6" t="s">
        <v>25</v>
      </c>
      <c r="L30" s="6" t="s">
        <v>97</v>
      </c>
      <c r="M30" s="6" t="s">
        <v>98</v>
      </c>
      <c r="N30" s="6" t="s">
        <v>99</v>
      </c>
      <c r="O30" s="6" t="s">
        <v>23</v>
      </c>
      <c r="P30" s="5">
        <v>5</v>
      </c>
      <c r="Q30" s="6" t="s">
        <v>100</v>
      </c>
      <c r="R30" s="5">
        <v>120</v>
      </c>
      <c r="S30" s="5">
        <v>24</v>
      </c>
      <c r="T30" s="5">
        <v>0</v>
      </c>
      <c r="U30" s="6" t="s">
        <v>23</v>
      </c>
      <c r="V30" s="6" t="s">
        <v>103</v>
      </c>
      <c r="W30" s="6" t="s">
        <v>31</v>
      </c>
      <c r="X30" s="6" t="s">
        <v>101</v>
      </c>
    </row>
    <row r="31" spans="1:24" ht="17.25" customHeight="1">
      <c r="A31" s="2">
        <v>29</v>
      </c>
      <c r="B31" s="5">
        <v>131</v>
      </c>
      <c r="C31" s="6" t="s">
        <v>104</v>
      </c>
      <c r="D31" s="6" t="s">
        <v>94</v>
      </c>
      <c r="E31" s="6" t="str">
        <f>VLOOKUP($D31,date!$B$2:$E$376,2,FALSE)</f>
        <v>10.1016/j.tet.2015.08.066</v>
      </c>
      <c r="F31" s="6">
        <f>VLOOKUP($D31,date!$B$2:$E$376,3,FALSE)</f>
        <v>11</v>
      </c>
      <c r="G31" s="6">
        <f>VLOOKUP($D31,date!$B$2:$E$376,4,FALSE)</f>
        <v>2015</v>
      </c>
      <c r="H31" s="6" t="s">
        <v>105</v>
      </c>
      <c r="I31" s="6" t="s">
        <v>23</v>
      </c>
      <c r="J31" s="6" t="s">
        <v>96</v>
      </c>
      <c r="K31" s="6" t="s">
        <v>25</v>
      </c>
      <c r="L31" s="6" t="s">
        <v>97</v>
      </c>
      <c r="M31" s="6" t="s">
        <v>98</v>
      </c>
      <c r="N31" s="6" t="s">
        <v>99</v>
      </c>
      <c r="O31" s="6" t="s">
        <v>23</v>
      </c>
      <c r="P31" s="5">
        <v>5</v>
      </c>
      <c r="Q31" s="6" t="s">
        <v>100</v>
      </c>
      <c r="R31" s="5">
        <v>120</v>
      </c>
      <c r="S31" s="5">
        <v>24</v>
      </c>
      <c r="T31" s="5">
        <v>37</v>
      </c>
      <c r="U31" s="6" t="s">
        <v>23</v>
      </c>
      <c r="V31" s="6" t="s">
        <v>23</v>
      </c>
      <c r="W31" s="6" t="s">
        <v>31</v>
      </c>
      <c r="X31" s="6" t="s">
        <v>101</v>
      </c>
    </row>
    <row r="32" spans="1:24" ht="17.25" customHeight="1">
      <c r="A32" s="2">
        <v>30</v>
      </c>
      <c r="B32" s="5">
        <v>132</v>
      </c>
      <c r="C32" s="6" t="s">
        <v>106</v>
      </c>
      <c r="D32" s="6" t="s">
        <v>94</v>
      </c>
      <c r="E32" s="6" t="str">
        <f>VLOOKUP($D32,date!$B$2:$E$376,2,FALSE)</f>
        <v>10.1016/j.tet.2015.08.066</v>
      </c>
      <c r="F32" s="6">
        <f>VLOOKUP($D32,date!$B$2:$E$376,3,FALSE)</f>
        <v>11</v>
      </c>
      <c r="G32" s="6">
        <f>VLOOKUP($D32,date!$B$2:$E$376,4,FALSE)</f>
        <v>2015</v>
      </c>
      <c r="H32" s="6" t="s">
        <v>107</v>
      </c>
      <c r="I32" s="6" t="s">
        <v>23</v>
      </c>
      <c r="J32" s="6" t="s">
        <v>96</v>
      </c>
      <c r="K32" s="6" t="s">
        <v>25</v>
      </c>
      <c r="L32" s="6" t="s">
        <v>97</v>
      </c>
      <c r="M32" s="6" t="s">
        <v>98</v>
      </c>
      <c r="N32" s="6" t="s">
        <v>99</v>
      </c>
      <c r="O32" s="6" t="s">
        <v>23</v>
      </c>
      <c r="P32" s="5">
        <v>5</v>
      </c>
      <c r="Q32" s="6" t="s">
        <v>100</v>
      </c>
      <c r="R32" s="5">
        <v>120</v>
      </c>
      <c r="S32" s="5">
        <v>24</v>
      </c>
      <c r="T32" s="5">
        <v>49</v>
      </c>
      <c r="U32" s="6" t="s">
        <v>23</v>
      </c>
      <c r="V32" s="6" t="s">
        <v>23</v>
      </c>
      <c r="W32" s="6" t="s">
        <v>31</v>
      </c>
      <c r="X32" s="6" t="s">
        <v>101</v>
      </c>
    </row>
    <row r="33" spans="1:24" ht="17.25" customHeight="1">
      <c r="A33" s="2">
        <v>31</v>
      </c>
      <c r="B33" s="5">
        <v>135</v>
      </c>
      <c r="C33" s="6" t="s">
        <v>108</v>
      </c>
      <c r="D33" s="6" t="s">
        <v>94</v>
      </c>
      <c r="E33" s="6" t="str">
        <f>VLOOKUP($D33,date!$B$2:$E$376,2,FALSE)</f>
        <v>10.1016/j.tet.2015.08.066</v>
      </c>
      <c r="F33" s="6">
        <f>VLOOKUP($D33,date!$B$2:$E$376,3,FALSE)</f>
        <v>11</v>
      </c>
      <c r="G33" s="6">
        <f>VLOOKUP($D33,date!$B$2:$E$376,4,FALSE)</f>
        <v>2015</v>
      </c>
      <c r="H33" s="6" t="s">
        <v>95</v>
      </c>
      <c r="I33" s="6" t="s">
        <v>23</v>
      </c>
      <c r="J33" s="6" t="s">
        <v>96</v>
      </c>
      <c r="K33" s="6" t="s">
        <v>25</v>
      </c>
      <c r="L33" s="6" t="s">
        <v>97</v>
      </c>
      <c r="M33" s="6" t="s">
        <v>98</v>
      </c>
      <c r="N33" s="6" t="s">
        <v>109</v>
      </c>
      <c r="O33" s="6" t="s">
        <v>23</v>
      </c>
      <c r="P33" s="5">
        <v>5</v>
      </c>
      <c r="Q33" s="6" t="s">
        <v>100</v>
      </c>
      <c r="R33" s="5">
        <v>120</v>
      </c>
      <c r="S33" s="5">
        <v>24</v>
      </c>
      <c r="T33" s="5">
        <v>67</v>
      </c>
      <c r="U33" s="6" t="s">
        <v>23</v>
      </c>
      <c r="V33" s="6" t="s">
        <v>23</v>
      </c>
      <c r="W33" s="6" t="s">
        <v>31</v>
      </c>
      <c r="X33" s="6" t="s">
        <v>101</v>
      </c>
    </row>
    <row r="34" spans="1:24" ht="17.25" customHeight="1">
      <c r="A34" s="2">
        <v>32</v>
      </c>
      <c r="B34" s="5">
        <v>137</v>
      </c>
      <c r="C34" s="6" t="s">
        <v>110</v>
      </c>
      <c r="D34" s="6" t="s">
        <v>94</v>
      </c>
      <c r="E34" s="6" t="str">
        <f>VLOOKUP($D34,date!$B$2:$E$376,2,FALSE)</f>
        <v>10.1016/j.tet.2015.08.066</v>
      </c>
      <c r="F34" s="6">
        <f>VLOOKUP($D34,date!$B$2:$E$376,3,FALSE)</f>
        <v>11</v>
      </c>
      <c r="G34" s="6">
        <f>VLOOKUP($D34,date!$B$2:$E$376,4,FALSE)</f>
        <v>2015</v>
      </c>
      <c r="H34" s="6" t="s">
        <v>95</v>
      </c>
      <c r="I34" s="6" t="s">
        <v>23</v>
      </c>
      <c r="J34" s="6" t="s">
        <v>96</v>
      </c>
      <c r="K34" s="6" t="s">
        <v>25</v>
      </c>
      <c r="L34" s="6" t="s">
        <v>97</v>
      </c>
      <c r="M34" s="6" t="s">
        <v>98</v>
      </c>
      <c r="N34" s="6" t="s">
        <v>111</v>
      </c>
      <c r="O34" s="6" t="s">
        <v>23</v>
      </c>
      <c r="P34" s="5">
        <v>5</v>
      </c>
      <c r="Q34" s="6" t="s">
        <v>100</v>
      </c>
      <c r="R34" s="5">
        <v>120</v>
      </c>
      <c r="S34" s="5">
        <v>24</v>
      </c>
      <c r="T34" s="5">
        <v>0</v>
      </c>
      <c r="U34" s="6" t="s">
        <v>23</v>
      </c>
      <c r="V34" s="6" t="s">
        <v>103</v>
      </c>
      <c r="W34" s="6" t="s">
        <v>31</v>
      </c>
      <c r="X34" s="6" t="s">
        <v>101</v>
      </c>
    </row>
    <row r="35" spans="1:24" ht="17.25" customHeight="1">
      <c r="A35" s="2">
        <v>33</v>
      </c>
      <c r="B35" s="5">
        <v>138</v>
      </c>
      <c r="C35" s="6" t="s">
        <v>112</v>
      </c>
      <c r="D35" s="6" t="s">
        <v>94</v>
      </c>
      <c r="E35" s="6" t="str">
        <f>VLOOKUP($D35,date!$B$2:$E$376,2,FALSE)</f>
        <v>10.1016/j.tet.2015.08.066</v>
      </c>
      <c r="F35" s="6">
        <f>VLOOKUP($D35,date!$B$2:$E$376,3,FALSE)</f>
        <v>11</v>
      </c>
      <c r="G35" s="6">
        <f>VLOOKUP($D35,date!$B$2:$E$376,4,FALSE)</f>
        <v>2015</v>
      </c>
      <c r="H35" s="6" t="s">
        <v>95</v>
      </c>
      <c r="I35" s="6" t="s">
        <v>23</v>
      </c>
      <c r="J35" s="6" t="s">
        <v>96</v>
      </c>
      <c r="K35" s="6" t="s">
        <v>25</v>
      </c>
      <c r="L35" s="6" t="s">
        <v>97</v>
      </c>
      <c r="M35" s="6" t="s">
        <v>98</v>
      </c>
      <c r="N35" s="6" t="s">
        <v>113</v>
      </c>
      <c r="O35" s="6" t="s">
        <v>23</v>
      </c>
      <c r="P35" s="5">
        <v>5</v>
      </c>
      <c r="Q35" s="6" t="s">
        <v>100</v>
      </c>
      <c r="R35" s="5">
        <v>120</v>
      </c>
      <c r="S35" s="5">
        <v>24</v>
      </c>
      <c r="T35" s="5">
        <v>72</v>
      </c>
      <c r="U35" s="6" t="s">
        <v>23</v>
      </c>
      <c r="V35" s="6" t="s">
        <v>23</v>
      </c>
      <c r="W35" s="6" t="s">
        <v>31</v>
      </c>
      <c r="X35" s="6" t="s">
        <v>101</v>
      </c>
    </row>
    <row r="36" spans="1:24" ht="17.25" customHeight="1">
      <c r="A36" s="2">
        <v>34</v>
      </c>
      <c r="B36" s="5">
        <v>139</v>
      </c>
      <c r="C36" s="6" t="s">
        <v>114</v>
      </c>
      <c r="D36" s="6" t="s">
        <v>94</v>
      </c>
      <c r="E36" s="6" t="str">
        <f>VLOOKUP($D36,date!$B$2:$E$376,2,FALSE)</f>
        <v>10.1016/j.tet.2015.08.066</v>
      </c>
      <c r="F36" s="6">
        <f>VLOOKUP($D36,date!$B$2:$E$376,3,FALSE)</f>
        <v>11</v>
      </c>
      <c r="G36" s="6">
        <f>VLOOKUP($D36,date!$B$2:$E$376,4,FALSE)</f>
        <v>2015</v>
      </c>
      <c r="H36" s="6" t="s">
        <v>95</v>
      </c>
      <c r="I36" s="6" t="s">
        <v>23</v>
      </c>
      <c r="J36" s="6" t="s">
        <v>96</v>
      </c>
      <c r="K36" s="6" t="s">
        <v>25</v>
      </c>
      <c r="L36" s="6" t="s">
        <v>97</v>
      </c>
      <c r="M36" s="6" t="s">
        <v>98</v>
      </c>
      <c r="N36" s="6" t="s">
        <v>99</v>
      </c>
      <c r="O36" s="6" t="s">
        <v>23</v>
      </c>
      <c r="P36" s="5">
        <v>5</v>
      </c>
      <c r="Q36" s="6" t="s">
        <v>100</v>
      </c>
      <c r="R36" s="5">
        <v>120</v>
      </c>
      <c r="S36" s="5">
        <v>24</v>
      </c>
      <c r="T36" s="5">
        <v>23</v>
      </c>
      <c r="U36" s="6" t="s">
        <v>23</v>
      </c>
      <c r="V36" s="6" t="s">
        <v>23</v>
      </c>
      <c r="W36" s="6" t="s">
        <v>31</v>
      </c>
      <c r="X36" s="6" t="s">
        <v>101</v>
      </c>
    </row>
    <row r="37" spans="1:24" ht="17.25" customHeight="1">
      <c r="A37" s="2">
        <v>35</v>
      </c>
      <c r="B37" s="5">
        <v>140</v>
      </c>
      <c r="C37" s="6" t="s">
        <v>115</v>
      </c>
      <c r="D37" s="6" t="s">
        <v>94</v>
      </c>
      <c r="E37" s="6" t="str">
        <f>VLOOKUP($D37,date!$B$2:$E$376,2,FALSE)</f>
        <v>10.1016/j.tet.2015.08.066</v>
      </c>
      <c r="F37" s="6">
        <f>VLOOKUP($D37,date!$B$2:$E$376,3,FALSE)</f>
        <v>11</v>
      </c>
      <c r="G37" s="6">
        <f>VLOOKUP($D37,date!$B$2:$E$376,4,FALSE)</f>
        <v>2015</v>
      </c>
      <c r="H37" s="6" t="s">
        <v>95</v>
      </c>
      <c r="I37" s="6" t="s">
        <v>23</v>
      </c>
      <c r="J37" s="6" t="s">
        <v>96</v>
      </c>
      <c r="K37" s="6" t="s">
        <v>25</v>
      </c>
      <c r="L37" s="6" t="s">
        <v>97</v>
      </c>
      <c r="M37" s="6" t="s">
        <v>98</v>
      </c>
      <c r="N37" s="6" t="s">
        <v>99</v>
      </c>
      <c r="O37" s="6" t="s">
        <v>23</v>
      </c>
      <c r="P37" s="5">
        <v>5</v>
      </c>
      <c r="Q37" s="6" t="s">
        <v>100</v>
      </c>
      <c r="R37" s="5">
        <v>120</v>
      </c>
      <c r="S37" s="5">
        <v>24</v>
      </c>
      <c r="T37" s="5">
        <v>48</v>
      </c>
      <c r="U37" s="6" t="s">
        <v>23</v>
      </c>
      <c r="V37" s="6" t="s">
        <v>23</v>
      </c>
      <c r="W37" s="6" t="s">
        <v>31</v>
      </c>
      <c r="X37" s="6" t="s">
        <v>101</v>
      </c>
    </row>
    <row r="38" spans="1:24" ht="17.25" customHeight="1">
      <c r="A38" s="2">
        <v>36</v>
      </c>
      <c r="B38" s="5">
        <v>142</v>
      </c>
      <c r="C38" s="6" t="s">
        <v>116</v>
      </c>
      <c r="D38" s="6" t="s">
        <v>94</v>
      </c>
      <c r="E38" s="6" t="str">
        <f>VLOOKUP($D38,date!$B$2:$E$376,2,FALSE)</f>
        <v>10.1016/j.tet.2015.08.066</v>
      </c>
      <c r="F38" s="6">
        <f>VLOOKUP($D38,date!$B$2:$E$376,3,FALSE)</f>
        <v>11</v>
      </c>
      <c r="G38" s="6">
        <f>VLOOKUP($D38,date!$B$2:$E$376,4,FALSE)</f>
        <v>2015</v>
      </c>
      <c r="H38" s="6" t="s">
        <v>95</v>
      </c>
      <c r="I38" s="6" t="s">
        <v>23</v>
      </c>
      <c r="J38" s="6" t="s">
        <v>96</v>
      </c>
      <c r="K38" s="6" t="s">
        <v>25</v>
      </c>
      <c r="L38" s="6" t="s">
        <v>97</v>
      </c>
      <c r="M38" s="6" t="s">
        <v>98</v>
      </c>
      <c r="N38" s="6" t="s">
        <v>99</v>
      </c>
      <c r="O38" s="6" t="s">
        <v>23</v>
      </c>
      <c r="P38" s="5">
        <v>20</v>
      </c>
      <c r="Q38" s="6" t="s">
        <v>100</v>
      </c>
      <c r="R38" s="5">
        <v>120</v>
      </c>
      <c r="S38" s="5">
        <v>24</v>
      </c>
      <c r="T38" s="5">
        <v>68</v>
      </c>
      <c r="U38" s="6" t="s">
        <v>23</v>
      </c>
      <c r="V38" s="6" t="s">
        <v>23</v>
      </c>
      <c r="W38" s="6" t="s">
        <v>31</v>
      </c>
      <c r="X38" s="6" t="s">
        <v>101</v>
      </c>
    </row>
    <row r="39" spans="1:24" ht="17.25" customHeight="1">
      <c r="A39" s="2">
        <v>37</v>
      </c>
      <c r="B39" s="5">
        <v>143</v>
      </c>
      <c r="C39" s="6" t="s">
        <v>117</v>
      </c>
      <c r="D39" s="6" t="s">
        <v>94</v>
      </c>
      <c r="E39" s="6" t="str">
        <f>VLOOKUP($D39,date!$B$2:$E$376,2,FALSE)</f>
        <v>10.1016/j.tet.2015.08.066</v>
      </c>
      <c r="F39" s="6">
        <f>VLOOKUP($D39,date!$B$2:$E$376,3,FALSE)</f>
        <v>11</v>
      </c>
      <c r="G39" s="6">
        <f>VLOOKUP($D39,date!$B$2:$E$376,4,FALSE)</f>
        <v>2015</v>
      </c>
      <c r="H39" s="6" t="s">
        <v>118</v>
      </c>
      <c r="I39" s="6" t="s">
        <v>23</v>
      </c>
      <c r="J39" s="6" t="s">
        <v>96</v>
      </c>
      <c r="K39" s="6" t="s">
        <v>25</v>
      </c>
      <c r="L39" s="6" t="s">
        <v>97</v>
      </c>
      <c r="M39" s="6" t="s">
        <v>98</v>
      </c>
      <c r="N39" s="6" t="s">
        <v>99</v>
      </c>
      <c r="O39" s="6" t="s">
        <v>23</v>
      </c>
      <c r="P39" s="5">
        <v>5</v>
      </c>
      <c r="Q39" s="6" t="s">
        <v>100</v>
      </c>
      <c r="R39" s="5">
        <v>120</v>
      </c>
      <c r="S39" s="5">
        <v>24</v>
      </c>
      <c r="T39" s="5">
        <v>0</v>
      </c>
      <c r="U39" s="6" t="s">
        <v>23</v>
      </c>
      <c r="V39" s="6" t="s">
        <v>103</v>
      </c>
      <c r="W39" s="6" t="s">
        <v>31</v>
      </c>
      <c r="X39" s="6" t="s">
        <v>101</v>
      </c>
    </row>
    <row r="40" spans="1:24" ht="17.25" customHeight="1">
      <c r="A40" s="2">
        <v>38</v>
      </c>
      <c r="B40" s="5">
        <v>144</v>
      </c>
      <c r="C40" s="6" t="s">
        <v>119</v>
      </c>
      <c r="D40" s="6" t="s">
        <v>94</v>
      </c>
      <c r="E40" s="6" t="str">
        <f>VLOOKUP($D40,date!$B$2:$E$376,2,FALSE)</f>
        <v>10.1016/j.tet.2015.08.066</v>
      </c>
      <c r="F40" s="6">
        <f>VLOOKUP($D40,date!$B$2:$E$376,3,FALSE)</f>
        <v>11</v>
      </c>
      <c r="G40" s="6">
        <f>VLOOKUP($D40,date!$B$2:$E$376,4,FALSE)</f>
        <v>2015</v>
      </c>
      <c r="H40" s="6" t="s">
        <v>120</v>
      </c>
      <c r="I40" s="6" t="s">
        <v>23</v>
      </c>
      <c r="J40" s="6" t="s">
        <v>96</v>
      </c>
      <c r="K40" s="6" t="s">
        <v>25</v>
      </c>
      <c r="L40" s="6" t="s">
        <v>97</v>
      </c>
      <c r="M40" s="6" t="s">
        <v>98</v>
      </c>
      <c r="N40" s="6" t="s">
        <v>99</v>
      </c>
      <c r="O40" s="6" t="s">
        <v>23</v>
      </c>
      <c r="P40" s="5">
        <v>5</v>
      </c>
      <c r="Q40" s="6" t="s">
        <v>100</v>
      </c>
      <c r="R40" s="5">
        <v>120</v>
      </c>
      <c r="S40" s="5">
        <v>24</v>
      </c>
      <c r="T40" s="5">
        <v>0</v>
      </c>
      <c r="U40" s="6" t="s">
        <v>23</v>
      </c>
      <c r="V40" s="6" t="s">
        <v>103</v>
      </c>
      <c r="W40" s="6" t="s">
        <v>31</v>
      </c>
      <c r="X40" s="6" t="s">
        <v>101</v>
      </c>
    </row>
    <row r="41" spans="1:24" ht="17.25" customHeight="1">
      <c r="A41" s="2">
        <v>39</v>
      </c>
      <c r="B41" s="5">
        <v>145</v>
      </c>
      <c r="C41" s="6" t="s">
        <v>121</v>
      </c>
      <c r="D41" s="6" t="s">
        <v>94</v>
      </c>
      <c r="E41" s="6" t="str">
        <f>VLOOKUP($D41,date!$B$2:$E$376,2,FALSE)</f>
        <v>10.1016/j.tet.2015.08.066</v>
      </c>
      <c r="F41" s="6">
        <f>VLOOKUP($D41,date!$B$2:$E$376,3,FALSE)</f>
        <v>11</v>
      </c>
      <c r="G41" s="6">
        <f>VLOOKUP($D41,date!$B$2:$E$376,4,FALSE)</f>
        <v>2015</v>
      </c>
      <c r="H41" s="6" t="s">
        <v>95</v>
      </c>
      <c r="I41" s="6" t="s">
        <v>23</v>
      </c>
      <c r="J41" s="6" t="s">
        <v>96</v>
      </c>
      <c r="K41" s="6" t="s">
        <v>25</v>
      </c>
      <c r="L41" s="6" t="s">
        <v>97</v>
      </c>
      <c r="M41" s="6" t="s">
        <v>98</v>
      </c>
      <c r="N41" s="6" t="s">
        <v>99</v>
      </c>
      <c r="O41" s="6" t="s">
        <v>23</v>
      </c>
      <c r="P41" s="5">
        <v>5</v>
      </c>
      <c r="Q41" s="6" t="s">
        <v>100</v>
      </c>
      <c r="R41" s="5">
        <v>120</v>
      </c>
      <c r="S41" s="5">
        <v>24</v>
      </c>
      <c r="T41" s="5">
        <v>86</v>
      </c>
      <c r="U41" s="6" t="s">
        <v>23</v>
      </c>
      <c r="V41" s="6" t="s">
        <v>23</v>
      </c>
      <c r="W41" s="6" t="s">
        <v>31</v>
      </c>
      <c r="X41" s="6" t="s">
        <v>101</v>
      </c>
    </row>
    <row r="42" spans="1:24" ht="17.25" customHeight="1">
      <c r="A42" s="2">
        <v>40</v>
      </c>
      <c r="B42" s="5">
        <v>146</v>
      </c>
      <c r="C42" s="6" t="s">
        <v>122</v>
      </c>
      <c r="D42" s="6" t="s">
        <v>94</v>
      </c>
      <c r="E42" s="6" t="str">
        <f>VLOOKUP($D42,date!$B$2:$E$376,2,FALSE)</f>
        <v>10.1016/j.tet.2015.08.066</v>
      </c>
      <c r="F42" s="6">
        <f>VLOOKUP($D42,date!$B$2:$E$376,3,FALSE)</f>
        <v>11</v>
      </c>
      <c r="G42" s="6">
        <f>VLOOKUP($D42,date!$B$2:$E$376,4,FALSE)</f>
        <v>2015</v>
      </c>
      <c r="H42" s="6" t="s">
        <v>95</v>
      </c>
      <c r="I42" s="6" t="s">
        <v>23</v>
      </c>
      <c r="J42" s="6" t="s">
        <v>96</v>
      </c>
      <c r="K42" s="6" t="s">
        <v>40</v>
      </c>
      <c r="L42" s="6" t="s">
        <v>97</v>
      </c>
      <c r="M42" s="6" t="s">
        <v>98</v>
      </c>
      <c r="N42" s="6" t="s">
        <v>99</v>
      </c>
      <c r="O42" s="6" t="s">
        <v>23</v>
      </c>
      <c r="P42" s="5">
        <v>5</v>
      </c>
      <c r="Q42" s="6" t="s">
        <v>100</v>
      </c>
      <c r="R42" s="5">
        <v>120</v>
      </c>
      <c r="S42" s="5">
        <v>24</v>
      </c>
      <c r="T42" s="5">
        <v>58</v>
      </c>
      <c r="U42" s="6" t="s">
        <v>23</v>
      </c>
      <c r="V42" s="6" t="s">
        <v>23</v>
      </c>
      <c r="W42" s="6" t="s">
        <v>31</v>
      </c>
      <c r="X42" s="6" t="s">
        <v>123</v>
      </c>
    </row>
    <row r="43" spans="1:24" ht="17.25" customHeight="1">
      <c r="A43" s="2">
        <v>41</v>
      </c>
      <c r="B43" s="5">
        <v>147</v>
      </c>
      <c r="C43" s="6" t="s">
        <v>124</v>
      </c>
      <c r="D43" s="6" t="s">
        <v>94</v>
      </c>
      <c r="E43" s="6" t="str">
        <f>VLOOKUP($D43,date!$B$2:$E$376,2,FALSE)</f>
        <v>10.1016/j.tet.2015.08.066</v>
      </c>
      <c r="F43" s="6">
        <f>VLOOKUP($D43,date!$B$2:$E$376,3,FALSE)</f>
        <v>11</v>
      </c>
      <c r="G43" s="6">
        <f>VLOOKUP($D43,date!$B$2:$E$376,4,FALSE)</f>
        <v>2015</v>
      </c>
      <c r="H43" s="6" t="s">
        <v>95</v>
      </c>
      <c r="I43" s="6" t="s">
        <v>23</v>
      </c>
      <c r="J43" s="6" t="s">
        <v>96</v>
      </c>
      <c r="K43" s="6" t="s">
        <v>50</v>
      </c>
      <c r="L43" s="6" t="s">
        <v>97</v>
      </c>
      <c r="M43" s="6" t="s">
        <v>98</v>
      </c>
      <c r="N43" s="6" t="s">
        <v>99</v>
      </c>
      <c r="O43" s="6" t="s">
        <v>23</v>
      </c>
      <c r="P43" s="5">
        <v>5</v>
      </c>
      <c r="Q43" s="6" t="s">
        <v>100</v>
      </c>
      <c r="R43" s="5">
        <v>120</v>
      </c>
      <c r="S43" s="5">
        <v>24</v>
      </c>
      <c r="T43" s="5">
        <v>9</v>
      </c>
      <c r="U43" s="6" t="s">
        <v>23</v>
      </c>
      <c r="V43" s="6" t="s">
        <v>23</v>
      </c>
      <c r="W43" s="6" t="s">
        <v>31</v>
      </c>
      <c r="X43" s="6" t="s">
        <v>125</v>
      </c>
    </row>
    <row r="44" spans="1:24" ht="17.25" customHeight="1">
      <c r="A44" s="2">
        <v>42</v>
      </c>
      <c r="B44" s="5">
        <v>148</v>
      </c>
      <c r="C44" s="6" t="s">
        <v>126</v>
      </c>
      <c r="D44" s="6" t="s">
        <v>94</v>
      </c>
      <c r="E44" s="6" t="str">
        <f>VLOOKUP($D44,date!$B$2:$E$376,2,FALSE)</f>
        <v>10.1016/j.tet.2015.08.066</v>
      </c>
      <c r="F44" s="6">
        <f>VLOOKUP($D44,date!$B$2:$E$376,3,FALSE)</f>
        <v>11</v>
      </c>
      <c r="G44" s="6">
        <f>VLOOKUP($D44,date!$B$2:$E$376,4,FALSE)</f>
        <v>2015</v>
      </c>
      <c r="H44" s="6" t="s">
        <v>95</v>
      </c>
      <c r="I44" s="6" t="s">
        <v>23</v>
      </c>
      <c r="J44" s="6" t="s">
        <v>96</v>
      </c>
      <c r="K44" s="6" t="s">
        <v>127</v>
      </c>
      <c r="L44" s="6" t="s">
        <v>97</v>
      </c>
      <c r="M44" s="6" t="s">
        <v>128</v>
      </c>
      <c r="N44" s="6" t="s">
        <v>99</v>
      </c>
      <c r="O44" s="6" t="s">
        <v>23</v>
      </c>
      <c r="P44" s="5">
        <v>5</v>
      </c>
      <c r="Q44" s="6" t="s">
        <v>100</v>
      </c>
      <c r="R44" s="5">
        <v>120</v>
      </c>
      <c r="S44" s="5">
        <v>24</v>
      </c>
      <c r="T44" s="5">
        <v>82</v>
      </c>
      <c r="U44" s="6" t="s">
        <v>23</v>
      </c>
      <c r="V44" s="6" t="s">
        <v>23</v>
      </c>
      <c r="W44" s="6" t="s">
        <v>31</v>
      </c>
      <c r="X44" s="6" t="s">
        <v>129</v>
      </c>
    </row>
    <row r="45" spans="1:24" ht="17.25" customHeight="1">
      <c r="A45" s="2">
        <v>43</v>
      </c>
      <c r="B45" s="5">
        <v>149</v>
      </c>
      <c r="C45" s="6" t="s">
        <v>130</v>
      </c>
      <c r="D45" s="6" t="s">
        <v>94</v>
      </c>
      <c r="E45" s="6" t="str">
        <f>VLOOKUP($D45,date!$B$2:$E$376,2,FALSE)</f>
        <v>10.1016/j.tet.2015.08.066</v>
      </c>
      <c r="F45" s="6">
        <f>VLOOKUP($D45,date!$B$2:$E$376,3,FALSE)</f>
        <v>11</v>
      </c>
      <c r="G45" s="6">
        <f>VLOOKUP($D45,date!$B$2:$E$376,4,FALSE)</f>
        <v>2015</v>
      </c>
      <c r="H45" s="6" t="s">
        <v>95</v>
      </c>
      <c r="I45" s="6" t="s">
        <v>23</v>
      </c>
      <c r="J45" s="6" t="s">
        <v>96</v>
      </c>
      <c r="K45" s="6" t="s">
        <v>131</v>
      </c>
      <c r="L45" s="6" t="s">
        <v>97</v>
      </c>
      <c r="M45" s="6" t="s">
        <v>132</v>
      </c>
      <c r="N45" s="6" t="s">
        <v>99</v>
      </c>
      <c r="O45" s="6" t="s">
        <v>23</v>
      </c>
      <c r="P45" s="5">
        <v>5</v>
      </c>
      <c r="Q45" s="6" t="s">
        <v>100</v>
      </c>
      <c r="R45" s="5">
        <v>120</v>
      </c>
      <c r="S45" s="5">
        <v>24</v>
      </c>
      <c r="T45" s="5">
        <v>86</v>
      </c>
      <c r="U45" s="6" t="s">
        <v>23</v>
      </c>
      <c r="V45" s="6" t="s">
        <v>23</v>
      </c>
      <c r="W45" s="6" t="s">
        <v>31</v>
      </c>
      <c r="X45" s="6" t="s">
        <v>133</v>
      </c>
    </row>
    <row r="46" spans="1:24" ht="17.25" customHeight="1">
      <c r="A46" s="2">
        <v>44</v>
      </c>
      <c r="B46" s="5">
        <v>150</v>
      </c>
      <c r="C46" s="6" t="s">
        <v>134</v>
      </c>
      <c r="D46" s="6" t="s">
        <v>94</v>
      </c>
      <c r="E46" s="6" t="str">
        <f>VLOOKUP($D46,date!$B$2:$E$376,2,FALSE)</f>
        <v>10.1016/j.tet.2015.08.066</v>
      </c>
      <c r="F46" s="6">
        <f>VLOOKUP($D46,date!$B$2:$E$376,3,FALSE)</f>
        <v>11</v>
      </c>
      <c r="G46" s="6">
        <f>VLOOKUP($D46,date!$B$2:$E$376,4,FALSE)</f>
        <v>2015</v>
      </c>
      <c r="H46" s="6" t="s">
        <v>95</v>
      </c>
      <c r="I46" s="6" t="s">
        <v>23</v>
      </c>
      <c r="J46" s="6" t="s">
        <v>96</v>
      </c>
      <c r="K46" s="6" t="s">
        <v>135</v>
      </c>
      <c r="L46" s="6" t="s">
        <v>97</v>
      </c>
      <c r="M46" s="6" t="s">
        <v>136</v>
      </c>
      <c r="N46" s="6" t="s">
        <v>99</v>
      </c>
      <c r="O46" s="6" t="s">
        <v>23</v>
      </c>
      <c r="P46" s="5">
        <v>5</v>
      </c>
      <c r="Q46" s="6" t="s">
        <v>100</v>
      </c>
      <c r="R46" s="5">
        <v>120</v>
      </c>
      <c r="S46" s="5">
        <v>24</v>
      </c>
      <c r="T46" s="5">
        <v>81</v>
      </c>
      <c r="U46" s="6" t="s">
        <v>23</v>
      </c>
      <c r="V46" s="6" t="s">
        <v>23</v>
      </c>
      <c r="W46" s="6" t="s">
        <v>31</v>
      </c>
      <c r="X46" s="6" t="s">
        <v>137</v>
      </c>
    </row>
    <row r="47" spans="1:24" ht="17.25" customHeight="1">
      <c r="A47" s="2">
        <v>45</v>
      </c>
      <c r="B47" s="5">
        <v>151</v>
      </c>
      <c r="C47" s="6" t="s">
        <v>138</v>
      </c>
      <c r="D47" s="6" t="s">
        <v>94</v>
      </c>
      <c r="E47" s="6" t="str">
        <f>VLOOKUP($D47,date!$B$2:$E$376,2,FALSE)</f>
        <v>10.1016/j.tet.2015.08.066</v>
      </c>
      <c r="F47" s="6">
        <f>VLOOKUP($D47,date!$B$2:$E$376,3,FALSE)</f>
        <v>11</v>
      </c>
      <c r="G47" s="6">
        <f>VLOOKUP($D47,date!$B$2:$E$376,4,FALSE)</f>
        <v>2015</v>
      </c>
      <c r="H47" s="6" t="s">
        <v>95</v>
      </c>
      <c r="I47" s="6" t="s">
        <v>23</v>
      </c>
      <c r="J47" s="6" t="s">
        <v>96</v>
      </c>
      <c r="K47" s="6" t="s">
        <v>139</v>
      </c>
      <c r="L47" s="6" t="s">
        <v>97</v>
      </c>
      <c r="M47" s="6" t="s">
        <v>136</v>
      </c>
      <c r="N47" s="6" t="s">
        <v>99</v>
      </c>
      <c r="O47" s="6" t="s">
        <v>23</v>
      </c>
      <c r="P47" s="5">
        <v>5</v>
      </c>
      <c r="Q47" s="6" t="s">
        <v>100</v>
      </c>
      <c r="R47" s="5">
        <v>120</v>
      </c>
      <c r="S47" s="5">
        <v>24</v>
      </c>
      <c r="T47" s="5">
        <v>54</v>
      </c>
      <c r="U47" s="6" t="s">
        <v>23</v>
      </c>
      <c r="V47" s="6" t="s">
        <v>23</v>
      </c>
      <c r="W47" s="6" t="s">
        <v>31</v>
      </c>
      <c r="X47" s="6" t="s">
        <v>140</v>
      </c>
    </row>
    <row r="48" spans="1:24" ht="17.25" customHeight="1">
      <c r="A48" s="2">
        <v>46</v>
      </c>
      <c r="B48" s="5">
        <v>152</v>
      </c>
      <c r="C48" s="6" t="s">
        <v>141</v>
      </c>
      <c r="D48" s="6" t="s">
        <v>94</v>
      </c>
      <c r="E48" s="6" t="str">
        <f>VLOOKUP($D48,date!$B$2:$E$376,2,FALSE)</f>
        <v>10.1016/j.tet.2015.08.066</v>
      </c>
      <c r="F48" s="6">
        <f>VLOOKUP($D48,date!$B$2:$E$376,3,FALSE)</f>
        <v>11</v>
      </c>
      <c r="G48" s="6">
        <f>VLOOKUP($D48,date!$B$2:$E$376,4,FALSE)</f>
        <v>2015</v>
      </c>
      <c r="H48" s="6" t="s">
        <v>95</v>
      </c>
      <c r="I48" s="6" t="s">
        <v>23</v>
      </c>
      <c r="J48" s="6" t="s">
        <v>96</v>
      </c>
      <c r="K48" s="6" t="s">
        <v>142</v>
      </c>
      <c r="L48" s="6" t="s">
        <v>97</v>
      </c>
      <c r="M48" s="6" t="s">
        <v>143</v>
      </c>
      <c r="N48" s="6" t="s">
        <v>99</v>
      </c>
      <c r="O48" s="6" t="s">
        <v>23</v>
      </c>
      <c r="P48" s="5">
        <v>5</v>
      </c>
      <c r="Q48" s="6" t="s">
        <v>100</v>
      </c>
      <c r="R48" s="5">
        <v>120</v>
      </c>
      <c r="S48" s="5">
        <v>24</v>
      </c>
      <c r="T48" s="5">
        <v>78</v>
      </c>
      <c r="U48" s="6" t="s">
        <v>23</v>
      </c>
      <c r="V48" s="6" t="s">
        <v>23</v>
      </c>
      <c r="W48" s="6" t="s">
        <v>31</v>
      </c>
      <c r="X48" s="6" t="s">
        <v>144</v>
      </c>
    </row>
    <row r="49" spans="1:24" ht="17.25" customHeight="1">
      <c r="A49" s="2">
        <v>47</v>
      </c>
      <c r="B49" s="5">
        <v>153</v>
      </c>
      <c r="C49" s="6" t="s">
        <v>145</v>
      </c>
      <c r="D49" s="6" t="s">
        <v>94</v>
      </c>
      <c r="E49" s="6" t="str">
        <f>VLOOKUP($D49,date!$B$2:$E$376,2,FALSE)</f>
        <v>10.1016/j.tet.2015.08.066</v>
      </c>
      <c r="F49" s="6">
        <f>VLOOKUP($D49,date!$B$2:$E$376,3,FALSE)</f>
        <v>11</v>
      </c>
      <c r="G49" s="6">
        <f>VLOOKUP($D49,date!$B$2:$E$376,4,FALSE)</f>
        <v>2015</v>
      </c>
      <c r="H49" s="6" t="s">
        <v>95</v>
      </c>
      <c r="I49" s="6" t="s">
        <v>23</v>
      </c>
      <c r="J49" s="6" t="s">
        <v>96</v>
      </c>
      <c r="K49" s="6" t="s">
        <v>146</v>
      </c>
      <c r="L49" s="6" t="s">
        <v>97</v>
      </c>
      <c r="M49" s="6" t="s">
        <v>147</v>
      </c>
      <c r="N49" s="6" t="s">
        <v>99</v>
      </c>
      <c r="O49" s="6" t="s">
        <v>23</v>
      </c>
      <c r="P49" s="5">
        <v>5</v>
      </c>
      <c r="Q49" s="6" t="s">
        <v>100</v>
      </c>
      <c r="R49" s="5">
        <v>120</v>
      </c>
      <c r="S49" s="5">
        <v>24</v>
      </c>
      <c r="T49" s="5">
        <v>53</v>
      </c>
      <c r="U49" s="6" t="s">
        <v>23</v>
      </c>
      <c r="V49" s="6" t="s">
        <v>23</v>
      </c>
      <c r="W49" s="6" t="s">
        <v>31</v>
      </c>
      <c r="X49" s="6" t="s">
        <v>148</v>
      </c>
    </row>
    <row r="50" spans="1:24" ht="17.25" customHeight="1">
      <c r="A50" s="2">
        <v>48</v>
      </c>
      <c r="B50" s="5">
        <v>154</v>
      </c>
      <c r="C50" s="6" t="s">
        <v>149</v>
      </c>
      <c r="D50" s="6" t="s">
        <v>94</v>
      </c>
      <c r="E50" s="6" t="str">
        <f>VLOOKUP($D50,date!$B$2:$E$376,2,FALSE)</f>
        <v>10.1016/j.tet.2015.08.066</v>
      </c>
      <c r="F50" s="6">
        <f>VLOOKUP($D50,date!$B$2:$E$376,3,FALSE)</f>
        <v>11</v>
      </c>
      <c r="G50" s="6">
        <f>VLOOKUP($D50,date!$B$2:$E$376,4,FALSE)</f>
        <v>2015</v>
      </c>
      <c r="H50" s="6" t="s">
        <v>95</v>
      </c>
      <c r="I50" s="6" t="s">
        <v>23</v>
      </c>
      <c r="J50" s="6" t="s">
        <v>96</v>
      </c>
      <c r="K50" s="6" t="s">
        <v>150</v>
      </c>
      <c r="L50" s="6" t="s">
        <v>97</v>
      </c>
      <c r="M50" s="6" t="s">
        <v>151</v>
      </c>
      <c r="N50" s="6" t="s">
        <v>99</v>
      </c>
      <c r="O50" s="6" t="s">
        <v>23</v>
      </c>
      <c r="P50" s="5">
        <v>5</v>
      </c>
      <c r="Q50" s="6" t="s">
        <v>100</v>
      </c>
      <c r="R50" s="5">
        <v>120</v>
      </c>
      <c r="S50" s="5">
        <v>24</v>
      </c>
      <c r="T50" s="5">
        <v>64</v>
      </c>
      <c r="U50" s="6" t="s">
        <v>23</v>
      </c>
      <c r="V50" s="6" t="s">
        <v>23</v>
      </c>
      <c r="W50" s="6" t="s">
        <v>31</v>
      </c>
      <c r="X50" s="6" t="s">
        <v>152</v>
      </c>
    </row>
    <row r="51" spans="1:24" ht="17.25" customHeight="1">
      <c r="A51" s="2">
        <v>49</v>
      </c>
      <c r="B51" s="5">
        <v>155</v>
      </c>
      <c r="C51" s="6" t="s">
        <v>153</v>
      </c>
      <c r="D51" s="6" t="s">
        <v>94</v>
      </c>
      <c r="E51" s="6" t="str">
        <f>VLOOKUP($D51,date!$B$2:$E$376,2,FALSE)</f>
        <v>10.1016/j.tet.2015.08.066</v>
      </c>
      <c r="F51" s="6">
        <f>VLOOKUP($D51,date!$B$2:$E$376,3,FALSE)</f>
        <v>11</v>
      </c>
      <c r="G51" s="6">
        <f>VLOOKUP($D51,date!$B$2:$E$376,4,FALSE)</f>
        <v>2015</v>
      </c>
      <c r="H51" s="6" t="s">
        <v>95</v>
      </c>
      <c r="I51" s="6" t="s">
        <v>23</v>
      </c>
      <c r="J51" s="6" t="s">
        <v>96</v>
      </c>
      <c r="K51" s="6" t="s">
        <v>154</v>
      </c>
      <c r="L51" s="6" t="s">
        <v>97</v>
      </c>
      <c r="M51" s="6" t="s">
        <v>155</v>
      </c>
      <c r="N51" s="6" t="s">
        <v>99</v>
      </c>
      <c r="O51" s="6" t="s">
        <v>23</v>
      </c>
      <c r="P51" s="5">
        <v>5</v>
      </c>
      <c r="Q51" s="6" t="s">
        <v>100</v>
      </c>
      <c r="R51" s="5">
        <v>120</v>
      </c>
      <c r="S51" s="5">
        <v>24</v>
      </c>
      <c r="T51" s="5">
        <v>92</v>
      </c>
      <c r="U51" s="6" t="s">
        <v>23</v>
      </c>
      <c r="V51" s="6" t="s">
        <v>23</v>
      </c>
      <c r="W51" s="6" t="s">
        <v>31</v>
      </c>
      <c r="X51" s="6" t="s">
        <v>156</v>
      </c>
    </row>
    <row r="52" spans="1:24" ht="17.25" customHeight="1">
      <c r="A52" s="2">
        <v>50</v>
      </c>
      <c r="B52" s="5">
        <v>156</v>
      </c>
      <c r="C52" s="6" t="s">
        <v>157</v>
      </c>
      <c r="D52" s="6" t="s">
        <v>94</v>
      </c>
      <c r="E52" s="6" t="str">
        <f>VLOOKUP($D52,date!$B$2:$E$376,2,FALSE)</f>
        <v>10.1016/j.tet.2015.08.066</v>
      </c>
      <c r="F52" s="6">
        <f>VLOOKUP($D52,date!$B$2:$E$376,3,FALSE)</f>
        <v>11</v>
      </c>
      <c r="G52" s="6">
        <f>VLOOKUP($D52,date!$B$2:$E$376,4,FALSE)</f>
        <v>2015</v>
      </c>
      <c r="H52" s="6" t="s">
        <v>95</v>
      </c>
      <c r="I52" s="6" t="s">
        <v>23</v>
      </c>
      <c r="J52" s="6" t="s">
        <v>96</v>
      </c>
      <c r="K52" s="6" t="s">
        <v>158</v>
      </c>
      <c r="L52" s="6" t="s">
        <v>97</v>
      </c>
      <c r="M52" s="6" t="s">
        <v>159</v>
      </c>
      <c r="N52" s="6" t="s">
        <v>99</v>
      </c>
      <c r="O52" s="6" t="s">
        <v>23</v>
      </c>
      <c r="P52" s="5">
        <v>5</v>
      </c>
      <c r="Q52" s="6" t="s">
        <v>100</v>
      </c>
      <c r="R52" s="5">
        <v>120</v>
      </c>
      <c r="S52" s="5">
        <v>24</v>
      </c>
      <c r="T52" s="5">
        <v>86</v>
      </c>
      <c r="U52" s="6" t="s">
        <v>23</v>
      </c>
      <c r="V52" s="6" t="s">
        <v>23</v>
      </c>
      <c r="W52" s="6" t="s">
        <v>31</v>
      </c>
      <c r="X52" s="6" t="s">
        <v>160</v>
      </c>
    </row>
    <row r="53" spans="1:24" ht="17.25" customHeight="1">
      <c r="A53" s="2">
        <v>51</v>
      </c>
      <c r="B53" s="5">
        <v>157</v>
      </c>
      <c r="C53" s="6" t="s">
        <v>161</v>
      </c>
      <c r="D53" s="6" t="s">
        <v>94</v>
      </c>
      <c r="E53" s="6" t="str">
        <f>VLOOKUP($D53,date!$B$2:$E$376,2,FALSE)</f>
        <v>10.1016/j.tet.2015.08.066</v>
      </c>
      <c r="F53" s="6">
        <f>VLOOKUP($D53,date!$B$2:$E$376,3,FALSE)</f>
        <v>11</v>
      </c>
      <c r="G53" s="6">
        <f>VLOOKUP($D53,date!$B$2:$E$376,4,FALSE)</f>
        <v>2015</v>
      </c>
      <c r="H53" s="6" t="s">
        <v>95</v>
      </c>
      <c r="I53" s="6" t="s">
        <v>23</v>
      </c>
      <c r="J53" s="6" t="s">
        <v>96</v>
      </c>
      <c r="K53" s="6" t="s">
        <v>162</v>
      </c>
      <c r="L53" s="6" t="s">
        <v>97</v>
      </c>
      <c r="M53" s="6" t="s">
        <v>163</v>
      </c>
      <c r="N53" s="6" t="s">
        <v>99</v>
      </c>
      <c r="O53" s="6" t="s">
        <v>23</v>
      </c>
      <c r="P53" s="5">
        <v>5</v>
      </c>
      <c r="Q53" s="6" t="s">
        <v>100</v>
      </c>
      <c r="R53" s="5">
        <v>120</v>
      </c>
      <c r="S53" s="5">
        <v>24</v>
      </c>
      <c r="T53" s="5">
        <v>75</v>
      </c>
      <c r="U53" s="6" t="s">
        <v>23</v>
      </c>
      <c r="V53" s="6" t="s">
        <v>23</v>
      </c>
      <c r="W53" s="6" t="s">
        <v>31</v>
      </c>
      <c r="X53" s="6" t="s">
        <v>164</v>
      </c>
    </row>
    <row r="54" spans="1:24" ht="17.25" customHeight="1">
      <c r="A54" s="2">
        <v>52</v>
      </c>
      <c r="B54" s="5">
        <v>158</v>
      </c>
      <c r="C54" s="6" t="s">
        <v>165</v>
      </c>
      <c r="D54" s="6" t="s">
        <v>94</v>
      </c>
      <c r="E54" s="6" t="str">
        <f>VLOOKUP($D54,date!$B$2:$E$376,2,FALSE)</f>
        <v>10.1016/j.tet.2015.08.066</v>
      </c>
      <c r="F54" s="6">
        <f>VLOOKUP($D54,date!$B$2:$E$376,3,FALSE)</f>
        <v>11</v>
      </c>
      <c r="G54" s="6">
        <f>VLOOKUP($D54,date!$B$2:$E$376,4,FALSE)</f>
        <v>2015</v>
      </c>
      <c r="H54" s="6" t="s">
        <v>95</v>
      </c>
      <c r="I54" s="6" t="s">
        <v>23</v>
      </c>
      <c r="J54" s="6" t="s">
        <v>96</v>
      </c>
      <c r="K54" s="6" t="s">
        <v>166</v>
      </c>
      <c r="L54" s="6" t="s">
        <v>97</v>
      </c>
      <c r="M54" s="6" t="s">
        <v>163</v>
      </c>
      <c r="N54" s="6" t="s">
        <v>99</v>
      </c>
      <c r="O54" s="6" t="s">
        <v>23</v>
      </c>
      <c r="P54" s="5">
        <v>5</v>
      </c>
      <c r="Q54" s="6" t="s">
        <v>100</v>
      </c>
      <c r="R54" s="5">
        <v>120</v>
      </c>
      <c r="S54" s="5">
        <v>24</v>
      </c>
      <c r="T54" s="5">
        <v>66</v>
      </c>
      <c r="U54" s="6" t="s">
        <v>23</v>
      </c>
      <c r="V54" s="6" t="s">
        <v>23</v>
      </c>
      <c r="W54" s="6" t="s">
        <v>31</v>
      </c>
      <c r="X54" s="6" t="s">
        <v>167</v>
      </c>
    </row>
    <row r="55" spans="1:24" ht="17.25" customHeight="1">
      <c r="A55" s="2">
        <v>53</v>
      </c>
      <c r="B55" s="5">
        <v>159</v>
      </c>
      <c r="C55" s="6" t="s">
        <v>168</v>
      </c>
      <c r="D55" s="6" t="s">
        <v>94</v>
      </c>
      <c r="E55" s="6" t="str">
        <f>VLOOKUP($D55,date!$B$2:$E$376,2,FALSE)</f>
        <v>10.1016/j.tet.2015.08.066</v>
      </c>
      <c r="F55" s="6">
        <f>VLOOKUP($D55,date!$B$2:$E$376,3,FALSE)</f>
        <v>11</v>
      </c>
      <c r="G55" s="6">
        <f>VLOOKUP($D55,date!$B$2:$E$376,4,FALSE)</f>
        <v>2015</v>
      </c>
      <c r="H55" s="6" t="s">
        <v>95</v>
      </c>
      <c r="I55" s="6" t="s">
        <v>23</v>
      </c>
      <c r="J55" s="6" t="s">
        <v>96</v>
      </c>
      <c r="K55" s="6" t="s">
        <v>169</v>
      </c>
      <c r="L55" s="6" t="s">
        <v>97</v>
      </c>
      <c r="M55" s="6" t="s">
        <v>170</v>
      </c>
      <c r="N55" s="6" t="s">
        <v>99</v>
      </c>
      <c r="O55" s="6" t="s">
        <v>23</v>
      </c>
      <c r="P55" s="5">
        <v>5</v>
      </c>
      <c r="Q55" s="6" t="s">
        <v>100</v>
      </c>
      <c r="R55" s="5">
        <v>120</v>
      </c>
      <c r="S55" s="5">
        <v>24</v>
      </c>
      <c r="T55" s="5">
        <v>80</v>
      </c>
      <c r="U55" s="6" t="s">
        <v>23</v>
      </c>
      <c r="V55" s="6" t="s">
        <v>23</v>
      </c>
      <c r="W55" s="6" t="s">
        <v>31</v>
      </c>
      <c r="X55" s="6" t="s">
        <v>171</v>
      </c>
    </row>
    <row r="56" spans="1:24" ht="17.25" customHeight="1">
      <c r="A56" s="2">
        <v>54</v>
      </c>
      <c r="B56" s="5">
        <v>160</v>
      </c>
      <c r="C56" s="6" t="s">
        <v>172</v>
      </c>
      <c r="D56" s="6" t="s">
        <v>94</v>
      </c>
      <c r="E56" s="6" t="str">
        <f>VLOOKUP($D56,date!$B$2:$E$376,2,FALSE)</f>
        <v>10.1016/j.tet.2015.08.066</v>
      </c>
      <c r="F56" s="6">
        <f>VLOOKUP($D56,date!$B$2:$E$376,3,FALSE)</f>
        <v>11</v>
      </c>
      <c r="G56" s="6">
        <f>VLOOKUP($D56,date!$B$2:$E$376,4,FALSE)</f>
        <v>2015</v>
      </c>
      <c r="H56" s="6" t="s">
        <v>95</v>
      </c>
      <c r="I56" s="6" t="s">
        <v>23</v>
      </c>
      <c r="J56" s="6" t="s">
        <v>96</v>
      </c>
      <c r="K56" s="6" t="s">
        <v>173</v>
      </c>
      <c r="L56" s="6" t="s">
        <v>97</v>
      </c>
      <c r="M56" s="6" t="s">
        <v>174</v>
      </c>
      <c r="N56" s="6" t="s">
        <v>99</v>
      </c>
      <c r="O56" s="6" t="s">
        <v>23</v>
      </c>
      <c r="P56" s="5">
        <v>5</v>
      </c>
      <c r="Q56" s="6" t="s">
        <v>100</v>
      </c>
      <c r="R56" s="5">
        <v>120</v>
      </c>
      <c r="S56" s="5">
        <v>24</v>
      </c>
      <c r="T56" s="5">
        <v>63</v>
      </c>
      <c r="U56" s="6" t="s">
        <v>23</v>
      </c>
      <c r="V56" s="6" t="s">
        <v>23</v>
      </c>
      <c r="W56" s="6" t="s">
        <v>31</v>
      </c>
      <c r="X56" s="6" t="s">
        <v>175</v>
      </c>
    </row>
    <row r="57" spans="1:24" ht="17.25" customHeight="1">
      <c r="A57" s="2">
        <v>55</v>
      </c>
      <c r="B57" s="5">
        <v>161</v>
      </c>
      <c r="C57" s="6" t="s">
        <v>176</v>
      </c>
      <c r="D57" s="6" t="s">
        <v>94</v>
      </c>
      <c r="E57" s="6" t="str">
        <f>VLOOKUP($D57,date!$B$2:$E$376,2,FALSE)</f>
        <v>10.1016/j.tet.2015.08.066</v>
      </c>
      <c r="F57" s="6">
        <f>VLOOKUP($D57,date!$B$2:$E$376,3,FALSE)</f>
        <v>11</v>
      </c>
      <c r="G57" s="6">
        <f>VLOOKUP($D57,date!$B$2:$E$376,4,FALSE)</f>
        <v>2015</v>
      </c>
      <c r="H57" s="6" t="s">
        <v>95</v>
      </c>
      <c r="I57" s="6" t="s">
        <v>23</v>
      </c>
      <c r="J57" s="6" t="s">
        <v>96</v>
      </c>
      <c r="K57" s="6" t="s">
        <v>87</v>
      </c>
      <c r="L57" s="6" t="s">
        <v>97</v>
      </c>
      <c r="M57" s="6" t="s">
        <v>177</v>
      </c>
      <c r="N57" s="6" t="s">
        <v>99</v>
      </c>
      <c r="O57" s="6" t="s">
        <v>23</v>
      </c>
      <c r="P57" s="5">
        <v>5</v>
      </c>
      <c r="Q57" s="6" t="s">
        <v>100</v>
      </c>
      <c r="R57" s="5">
        <v>120</v>
      </c>
      <c r="S57" s="5">
        <v>24</v>
      </c>
      <c r="T57" s="5">
        <v>76</v>
      </c>
      <c r="U57" s="6" t="s">
        <v>23</v>
      </c>
      <c r="V57" s="6" t="s">
        <v>23</v>
      </c>
      <c r="W57" s="6" t="s">
        <v>31</v>
      </c>
      <c r="X57" s="6" t="s">
        <v>178</v>
      </c>
    </row>
    <row r="58" spans="1:24" ht="17.25" customHeight="1">
      <c r="A58" s="2">
        <v>56</v>
      </c>
      <c r="B58" s="5">
        <v>162</v>
      </c>
      <c r="C58" s="6" t="s">
        <v>179</v>
      </c>
      <c r="D58" s="6" t="s">
        <v>94</v>
      </c>
      <c r="E58" s="6" t="str">
        <f>VLOOKUP($D58,date!$B$2:$E$376,2,FALSE)</f>
        <v>10.1016/j.tet.2015.08.066</v>
      </c>
      <c r="F58" s="6">
        <f>VLOOKUP($D58,date!$B$2:$E$376,3,FALSE)</f>
        <v>11</v>
      </c>
      <c r="G58" s="6">
        <f>VLOOKUP($D58,date!$B$2:$E$376,4,FALSE)</f>
        <v>2015</v>
      </c>
      <c r="H58" s="6" t="s">
        <v>95</v>
      </c>
      <c r="I58" s="6" t="s">
        <v>23</v>
      </c>
      <c r="J58" s="6" t="s">
        <v>96</v>
      </c>
      <c r="K58" s="6" t="s">
        <v>25</v>
      </c>
      <c r="L58" s="6" t="s">
        <v>132</v>
      </c>
      <c r="M58" s="6" t="s">
        <v>180</v>
      </c>
      <c r="N58" s="6" t="s">
        <v>181</v>
      </c>
      <c r="O58" s="6" t="s">
        <v>23</v>
      </c>
      <c r="P58" s="5">
        <v>5</v>
      </c>
      <c r="Q58" s="6" t="s">
        <v>100</v>
      </c>
      <c r="R58" s="5">
        <v>120</v>
      </c>
      <c r="S58" s="5">
        <v>24</v>
      </c>
      <c r="T58" s="5">
        <v>89</v>
      </c>
      <c r="U58" s="6" t="s">
        <v>23</v>
      </c>
      <c r="V58" s="6" t="s">
        <v>23</v>
      </c>
      <c r="W58" s="6" t="s">
        <v>31</v>
      </c>
      <c r="X58" s="6" t="s">
        <v>182</v>
      </c>
    </row>
    <row r="59" spans="1:24" ht="17.25" customHeight="1">
      <c r="A59" s="2">
        <v>57</v>
      </c>
      <c r="B59" s="5">
        <v>163</v>
      </c>
      <c r="C59" s="6" t="s">
        <v>183</v>
      </c>
      <c r="D59" s="6" t="s">
        <v>94</v>
      </c>
      <c r="E59" s="6" t="str">
        <f>VLOOKUP($D59,date!$B$2:$E$376,2,FALSE)</f>
        <v>10.1016/j.tet.2015.08.066</v>
      </c>
      <c r="F59" s="6">
        <f>VLOOKUP($D59,date!$B$2:$E$376,3,FALSE)</f>
        <v>11</v>
      </c>
      <c r="G59" s="6">
        <f>VLOOKUP($D59,date!$B$2:$E$376,4,FALSE)</f>
        <v>2015</v>
      </c>
      <c r="H59" s="6" t="s">
        <v>95</v>
      </c>
      <c r="I59" s="6" t="s">
        <v>23</v>
      </c>
      <c r="J59" s="6" t="s">
        <v>96</v>
      </c>
      <c r="K59" s="6" t="s">
        <v>40</v>
      </c>
      <c r="L59" s="6" t="s">
        <v>132</v>
      </c>
      <c r="M59" s="6" t="s">
        <v>180</v>
      </c>
      <c r="N59" s="6" t="s">
        <v>181</v>
      </c>
      <c r="O59" s="6" t="s">
        <v>23</v>
      </c>
      <c r="P59" s="5">
        <v>5</v>
      </c>
      <c r="Q59" s="6" t="s">
        <v>100</v>
      </c>
      <c r="R59" s="5">
        <v>120</v>
      </c>
      <c r="S59" s="5">
        <v>24</v>
      </c>
      <c r="T59" s="5">
        <v>66</v>
      </c>
      <c r="U59" s="6" t="s">
        <v>23</v>
      </c>
      <c r="V59" s="6" t="s">
        <v>23</v>
      </c>
      <c r="W59" s="6" t="s">
        <v>31</v>
      </c>
      <c r="X59" s="6" t="s">
        <v>184</v>
      </c>
    </row>
    <row r="60" spans="1:24" ht="17.25" customHeight="1">
      <c r="A60" s="2">
        <v>58</v>
      </c>
      <c r="B60" s="5">
        <v>164</v>
      </c>
      <c r="C60" s="6" t="s">
        <v>185</v>
      </c>
      <c r="D60" s="6" t="s">
        <v>94</v>
      </c>
      <c r="E60" s="6" t="str">
        <f>VLOOKUP($D60,date!$B$2:$E$376,2,FALSE)</f>
        <v>10.1016/j.tet.2015.08.066</v>
      </c>
      <c r="F60" s="6">
        <f>VLOOKUP($D60,date!$B$2:$E$376,3,FALSE)</f>
        <v>11</v>
      </c>
      <c r="G60" s="6">
        <f>VLOOKUP($D60,date!$B$2:$E$376,4,FALSE)</f>
        <v>2015</v>
      </c>
      <c r="H60" s="6" t="s">
        <v>95</v>
      </c>
      <c r="I60" s="6" t="s">
        <v>23</v>
      </c>
      <c r="J60" s="6" t="s">
        <v>96</v>
      </c>
      <c r="K60" s="6" t="s">
        <v>50</v>
      </c>
      <c r="L60" s="6" t="s">
        <v>132</v>
      </c>
      <c r="M60" s="6" t="s">
        <v>180</v>
      </c>
      <c r="N60" s="6" t="s">
        <v>181</v>
      </c>
      <c r="O60" s="6" t="s">
        <v>23</v>
      </c>
      <c r="P60" s="5">
        <v>5</v>
      </c>
      <c r="Q60" s="6" t="s">
        <v>100</v>
      </c>
      <c r="R60" s="5">
        <v>120</v>
      </c>
      <c r="S60" s="5">
        <v>24</v>
      </c>
      <c r="T60" s="5">
        <v>0</v>
      </c>
      <c r="U60" s="6" t="s">
        <v>23</v>
      </c>
      <c r="V60" s="6" t="s">
        <v>23</v>
      </c>
      <c r="W60" s="6" t="s">
        <v>31</v>
      </c>
      <c r="X60" s="6" t="s">
        <v>186</v>
      </c>
    </row>
    <row r="61" spans="1:24" ht="17.25" customHeight="1">
      <c r="A61" s="2">
        <v>59</v>
      </c>
      <c r="B61" s="5">
        <v>165</v>
      </c>
      <c r="C61" s="6" t="s">
        <v>187</v>
      </c>
      <c r="D61" s="6" t="s">
        <v>94</v>
      </c>
      <c r="E61" s="6" t="str">
        <f>VLOOKUP($D61,date!$B$2:$E$376,2,FALSE)</f>
        <v>10.1016/j.tet.2015.08.066</v>
      </c>
      <c r="F61" s="6">
        <f>VLOOKUP($D61,date!$B$2:$E$376,3,FALSE)</f>
        <v>11</v>
      </c>
      <c r="G61" s="6">
        <f>VLOOKUP($D61,date!$B$2:$E$376,4,FALSE)</f>
        <v>2015</v>
      </c>
      <c r="H61" s="6" t="s">
        <v>95</v>
      </c>
      <c r="I61" s="6" t="s">
        <v>23</v>
      </c>
      <c r="J61" s="6" t="s">
        <v>96</v>
      </c>
      <c r="K61" s="6" t="s">
        <v>25</v>
      </c>
      <c r="L61" s="6" t="s">
        <v>128</v>
      </c>
      <c r="M61" s="6" t="s">
        <v>188</v>
      </c>
      <c r="N61" s="6" t="s">
        <v>181</v>
      </c>
      <c r="O61" s="6" t="s">
        <v>23</v>
      </c>
      <c r="P61" s="5">
        <v>5</v>
      </c>
      <c r="Q61" s="6" t="s">
        <v>100</v>
      </c>
      <c r="R61" s="5">
        <v>120</v>
      </c>
      <c r="S61" s="5">
        <v>24</v>
      </c>
      <c r="T61" s="5">
        <v>87</v>
      </c>
      <c r="U61" s="6" t="s">
        <v>23</v>
      </c>
      <c r="V61" s="6" t="s">
        <v>23</v>
      </c>
      <c r="W61" s="6" t="s">
        <v>31</v>
      </c>
      <c r="X61" s="6" t="s">
        <v>189</v>
      </c>
    </row>
    <row r="62" spans="1:24" ht="17.25" customHeight="1">
      <c r="A62" s="2">
        <v>60</v>
      </c>
      <c r="B62" s="5">
        <v>166</v>
      </c>
      <c r="C62" s="6" t="s">
        <v>190</v>
      </c>
      <c r="D62" s="6" t="s">
        <v>94</v>
      </c>
      <c r="E62" s="6" t="str">
        <f>VLOOKUP($D62,date!$B$2:$E$376,2,FALSE)</f>
        <v>10.1016/j.tet.2015.08.066</v>
      </c>
      <c r="F62" s="6">
        <f>VLOOKUP($D62,date!$B$2:$E$376,3,FALSE)</f>
        <v>11</v>
      </c>
      <c r="G62" s="6">
        <f>VLOOKUP($D62,date!$B$2:$E$376,4,FALSE)</f>
        <v>2015</v>
      </c>
      <c r="H62" s="6" t="s">
        <v>95</v>
      </c>
      <c r="I62" s="6" t="s">
        <v>23</v>
      </c>
      <c r="J62" s="6" t="s">
        <v>96</v>
      </c>
      <c r="K62" s="6" t="s">
        <v>127</v>
      </c>
      <c r="L62" s="6" t="s">
        <v>132</v>
      </c>
      <c r="M62" s="6" t="s">
        <v>191</v>
      </c>
      <c r="N62" s="6" t="s">
        <v>181</v>
      </c>
      <c r="O62" s="6" t="s">
        <v>23</v>
      </c>
      <c r="P62" s="5">
        <v>5</v>
      </c>
      <c r="Q62" s="6" t="s">
        <v>100</v>
      </c>
      <c r="R62" s="5">
        <v>120</v>
      </c>
      <c r="S62" s="5">
        <v>24</v>
      </c>
      <c r="T62" s="5">
        <v>84</v>
      </c>
      <c r="U62" s="6" t="s">
        <v>23</v>
      </c>
      <c r="V62" s="6" t="s">
        <v>23</v>
      </c>
      <c r="W62" s="6" t="s">
        <v>31</v>
      </c>
      <c r="X62" s="6" t="s">
        <v>192</v>
      </c>
    </row>
    <row r="63" spans="1:24" ht="17.25" customHeight="1">
      <c r="A63" s="2">
        <v>61</v>
      </c>
      <c r="B63" s="5">
        <v>167</v>
      </c>
      <c r="C63" s="6" t="s">
        <v>193</v>
      </c>
      <c r="D63" s="6" t="s">
        <v>94</v>
      </c>
      <c r="E63" s="6" t="str">
        <f>VLOOKUP($D63,date!$B$2:$E$376,2,FALSE)</f>
        <v>10.1016/j.tet.2015.08.066</v>
      </c>
      <c r="F63" s="6">
        <f>VLOOKUP($D63,date!$B$2:$E$376,3,FALSE)</f>
        <v>11</v>
      </c>
      <c r="G63" s="6">
        <f>VLOOKUP($D63,date!$B$2:$E$376,4,FALSE)</f>
        <v>2015</v>
      </c>
      <c r="H63" s="6" t="s">
        <v>95</v>
      </c>
      <c r="I63" s="6" t="s">
        <v>23</v>
      </c>
      <c r="J63" s="6" t="s">
        <v>96</v>
      </c>
      <c r="K63" s="6" t="s">
        <v>135</v>
      </c>
      <c r="L63" s="6" t="s">
        <v>132</v>
      </c>
      <c r="M63" s="6" t="s">
        <v>194</v>
      </c>
      <c r="N63" s="6" t="s">
        <v>181</v>
      </c>
      <c r="O63" s="6" t="s">
        <v>23</v>
      </c>
      <c r="P63" s="5">
        <v>5</v>
      </c>
      <c r="Q63" s="6" t="s">
        <v>100</v>
      </c>
      <c r="R63" s="5">
        <v>120</v>
      </c>
      <c r="S63" s="5">
        <v>24</v>
      </c>
      <c r="T63" s="5">
        <v>82</v>
      </c>
      <c r="U63" s="6" t="s">
        <v>23</v>
      </c>
      <c r="V63" s="6" t="s">
        <v>23</v>
      </c>
      <c r="W63" s="6" t="s">
        <v>31</v>
      </c>
      <c r="X63" s="6" t="s">
        <v>195</v>
      </c>
    </row>
    <row r="64" spans="1:24" ht="17.25" customHeight="1">
      <c r="A64" s="2">
        <v>62</v>
      </c>
      <c r="B64" s="5">
        <v>168</v>
      </c>
      <c r="C64" s="6" t="s">
        <v>196</v>
      </c>
      <c r="D64" s="6" t="s">
        <v>94</v>
      </c>
      <c r="E64" s="6" t="str">
        <f>VLOOKUP($D64,date!$B$2:$E$376,2,FALSE)</f>
        <v>10.1016/j.tet.2015.08.066</v>
      </c>
      <c r="F64" s="6">
        <f>VLOOKUP($D64,date!$B$2:$E$376,3,FALSE)</f>
        <v>11</v>
      </c>
      <c r="G64" s="6">
        <f>VLOOKUP($D64,date!$B$2:$E$376,4,FALSE)</f>
        <v>2015</v>
      </c>
      <c r="H64" s="6" t="s">
        <v>95</v>
      </c>
      <c r="I64" s="6" t="s">
        <v>23</v>
      </c>
      <c r="J64" s="6" t="s">
        <v>96</v>
      </c>
      <c r="K64" s="6" t="s">
        <v>142</v>
      </c>
      <c r="L64" s="6" t="s">
        <v>132</v>
      </c>
      <c r="M64" s="6" t="s">
        <v>197</v>
      </c>
      <c r="N64" s="6" t="s">
        <v>181</v>
      </c>
      <c r="O64" s="6" t="s">
        <v>23</v>
      </c>
      <c r="P64" s="5">
        <v>5</v>
      </c>
      <c r="Q64" s="6" t="s">
        <v>100</v>
      </c>
      <c r="R64" s="5">
        <v>120</v>
      </c>
      <c r="S64" s="5">
        <v>24</v>
      </c>
      <c r="T64" s="5">
        <v>80</v>
      </c>
      <c r="U64" s="6" t="s">
        <v>23</v>
      </c>
      <c r="V64" s="6" t="s">
        <v>23</v>
      </c>
      <c r="W64" s="6" t="s">
        <v>31</v>
      </c>
      <c r="X64" s="6" t="s">
        <v>198</v>
      </c>
    </row>
    <row r="65" spans="1:24" ht="17.25" customHeight="1">
      <c r="A65" s="2">
        <v>63</v>
      </c>
      <c r="B65" s="5">
        <v>169</v>
      </c>
      <c r="C65" s="6" t="s">
        <v>199</v>
      </c>
      <c r="D65" s="6" t="s">
        <v>94</v>
      </c>
      <c r="E65" s="6" t="str">
        <f>VLOOKUP($D65,date!$B$2:$E$376,2,FALSE)</f>
        <v>10.1016/j.tet.2015.08.066</v>
      </c>
      <c r="F65" s="6">
        <f>VLOOKUP($D65,date!$B$2:$E$376,3,FALSE)</f>
        <v>11</v>
      </c>
      <c r="G65" s="6">
        <f>VLOOKUP($D65,date!$B$2:$E$376,4,FALSE)</f>
        <v>2015</v>
      </c>
      <c r="H65" s="6" t="s">
        <v>95</v>
      </c>
      <c r="I65" s="6" t="s">
        <v>23</v>
      </c>
      <c r="J65" s="6" t="s">
        <v>96</v>
      </c>
      <c r="K65" s="6" t="s">
        <v>25</v>
      </c>
      <c r="L65" s="6" t="s">
        <v>98</v>
      </c>
      <c r="M65" s="6" t="s">
        <v>200</v>
      </c>
      <c r="N65" s="6" t="s">
        <v>181</v>
      </c>
      <c r="O65" s="6" t="s">
        <v>23</v>
      </c>
      <c r="P65" s="5">
        <v>5</v>
      </c>
      <c r="Q65" s="6" t="s">
        <v>100</v>
      </c>
      <c r="R65" s="5">
        <v>120</v>
      </c>
      <c r="S65" s="5">
        <v>24</v>
      </c>
      <c r="T65" s="5">
        <v>89</v>
      </c>
      <c r="U65" s="6" t="s">
        <v>23</v>
      </c>
      <c r="V65" s="6" t="s">
        <v>23</v>
      </c>
      <c r="W65" s="6" t="s">
        <v>31</v>
      </c>
      <c r="X65" s="6" t="s">
        <v>201</v>
      </c>
    </row>
    <row r="66" spans="1:24" ht="17.25" customHeight="1">
      <c r="A66" s="2">
        <v>64</v>
      </c>
      <c r="B66" s="5">
        <v>170</v>
      </c>
      <c r="C66" s="6" t="s">
        <v>202</v>
      </c>
      <c r="D66" s="6" t="s">
        <v>94</v>
      </c>
      <c r="E66" s="6" t="str">
        <f>VLOOKUP($D66,date!$B$2:$E$376,2,FALSE)</f>
        <v>10.1016/j.tet.2015.08.066</v>
      </c>
      <c r="F66" s="6">
        <f>VLOOKUP($D66,date!$B$2:$E$376,3,FALSE)</f>
        <v>11</v>
      </c>
      <c r="G66" s="6">
        <f>VLOOKUP($D66,date!$B$2:$E$376,4,FALSE)</f>
        <v>2015</v>
      </c>
      <c r="H66" s="6" t="s">
        <v>95</v>
      </c>
      <c r="I66" s="6" t="s">
        <v>23</v>
      </c>
      <c r="J66" s="6" t="s">
        <v>96</v>
      </c>
      <c r="K66" s="6" t="s">
        <v>131</v>
      </c>
      <c r="L66" s="6" t="s">
        <v>132</v>
      </c>
      <c r="M66" s="6" t="s">
        <v>203</v>
      </c>
      <c r="N66" s="6" t="s">
        <v>181</v>
      </c>
      <c r="O66" s="6" t="s">
        <v>23</v>
      </c>
      <c r="P66" s="5">
        <v>5</v>
      </c>
      <c r="Q66" s="6" t="s">
        <v>100</v>
      </c>
      <c r="R66" s="5">
        <v>120</v>
      </c>
      <c r="S66" s="5">
        <v>24</v>
      </c>
      <c r="T66" s="5">
        <v>86</v>
      </c>
      <c r="U66" s="6" t="s">
        <v>23</v>
      </c>
      <c r="V66" s="6" t="s">
        <v>23</v>
      </c>
      <c r="W66" s="6" t="s">
        <v>31</v>
      </c>
      <c r="X66" s="6" t="s">
        <v>204</v>
      </c>
    </row>
    <row r="67" spans="1:24" ht="17.25" customHeight="1">
      <c r="A67" s="2">
        <v>65</v>
      </c>
      <c r="B67" s="5">
        <v>171</v>
      </c>
      <c r="C67" s="6" t="s">
        <v>205</v>
      </c>
      <c r="D67" s="6" t="s">
        <v>94</v>
      </c>
      <c r="E67" s="6" t="str">
        <f>VLOOKUP($D67,date!$B$2:$E$376,2,FALSE)</f>
        <v>10.1016/j.tet.2015.08.066</v>
      </c>
      <c r="F67" s="6">
        <f>VLOOKUP($D67,date!$B$2:$E$376,3,FALSE)</f>
        <v>11</v>
      </c>
      <c r="G67" s="6">
        <f>VLOOKUP($D67,date!$B$2:$E$376,4,FALSE)</f>
        <v>2015</v>
      </c>
      <c r="H67" s="6" t="s">
        <v>95</v>
      </c>
      <c r="I67" s="6" t="s">
        <v>23</v>
      </c>
      <c r="J67" s="6" t="s">
        <v>96</v>
      </c>
      <c r="K67" s="6" t="s">
        <v>169</v>
      </c>
      <c r="L67" s="6" t="s">
        <v>132</v>
      </c>
      <c r="M67" s="6" t="s">
        <v>206</v>
      </c>
      <c r="N67" s="6" t="s">
        <v>181</v>
      </c>
      <c r="O67" s="6" t="s">
        <v>23</v>
      </c>
      <c r="P67" s="5">
        <v>5</v>
      </c>
      <c r="Q67" s="6" t="s">
        <v>100</v>
      </c>
      <c r="R67" s="5">
        <v>120</v>
      </c>
      <c r="S67" s="5">
        <v>24</v>
      </c>
      <c r="T67" s="5">
        <v>62</v>
      </c>
      <c r="U67" s="6" t="s">
        <v>23</v>
      </c>
      <c r="V67" s="6" t="s">
        <v>23</v>
      </c>
      <c r="W67" s="6" t="s">
        <v>31</v>
      </c>
      <c r="X67" s="6" t="s">
        <v>207</v>
      </c>
    </row>
    <row r="68" spans="1:24" ht="17.25" customHeight="1">
      <c r="A68" s="2">
        <v>66</v>
      </c>
      <c r="B68" s="5">
        <v>172</v>
      </c>
      <c r="C68" s="6" t="s">
        <v>208</v>
      </c>
      <c r="D68" s="6" t="s">
        <v>94</v>
      </c>
      <c r="E68" s="6" t="str">
        <f>VLOOKUP($D68,date!$B$2:$E$376,2,FALSE)</f>
        <v>10.1016/j.tet.2015.08.066</v>
      </c>
      <c r="F68" s="6">
        <f>VLOOKUP($D68,date!$B$2:$E$376,3,FALSE)</f>
        <v>11</v>
      </c>
      <c r="G68" s="6">
        <f>VLOOKUP($D68,date!$B$2:$E$376,4,FALSE)</f>
        <v>2015</v>
      </c>
      <c r="H68" s="6" t="s">
        <v>95</v>
      </c>
      <c r="I68" s="6" t="s">
        <v>23</v>
      </c>
      <c r="J68" s="6" t="s">
        <v>96</v>
      </c>
      <c r="K68" s="6" t="s">
        <v>162</v>
      </c>
      <c r="L68" s="6" t="s">
        <v>132</v>
      </c>
      <c r="M68" s="6" t="s">
        <v>209</v>
      </c>
      <c r="N68" s="6" t="s">
        <v>181</v>
      </c>
      <c r="O68" s="6" t="s">
        <v>23</v>
      </c>
      <c r="P68" s="5">
        <v>5</v>
      </c>
      <c r="Q68" s="6" t="s">
        <v>100</v>
      </c>
      <c r="R68" s="5">
        <v>120</v>
      </c>
      <c r="S68" s="5">
        <v>24</v>
      </c>
      <c r="T68" s="5">
        <v>73</v>
      </c>
      <c r="U68" s="6" t="s">
        <v>23</v>
      </c>
      <c r="V68" s="6" t="s">
        <v>23</v>
      </c>
      <c r="W68" s="6" t="s">
        <v>31</v>
      </c>
      <c r="X68" s="6" t="s">
        <v>210</v>
      </c>
    </row>
    <row r="69" spans="1:24" ht="17.25" customHeight="1">
      <c r="A69" s="2">
        <v>67</v>
      </c>
      <c r="B69" s="5">
        <v>173</v>
      </c>
      <c r="C69" s="6" t="s">
        <v>211</v>
      </c>
      <c r="D69" s="6" t="s">
        <v>94</v>
      </c>
      <c r="E69" s="6" t="str">
        <f>VLOOKUP($D69,date!$B$2:$E$376,2,FALSE)</f>
        <v>10.1016/j.tet.2015.08.066</v>
      </c>
      <c r="F69" s="6">
        <f>VLOOKUP($D69,date!$B$2:$E$376,3,FALSE)</f>
        <v>11</v>
      </c>
      <c r="G69" s="6">
        <f>VLOOKUP($D69,date!$B$2:$E$376,4,FALSE)</f>
        <v>2015</v>
      </c>
      <c r="H69" s="6" t="s">
        <v>95</v>
      </c>
      <c r="I69" s="6" t="s">
        <v>23</v>
      </c>
      <c r="J69" s="6" t="s">
        <v>96</v>
      </c>
      <c r="K69" s="6" t="s">
        <v>212</v>
      </c>
      <c r="L69" s="6" t="s">
        <v>213</v>
      </c>
      <c r="M69" s="6" t="s">
        <v>214</v>
      </c>
      <c r="N69" s="6" t="s">
        <v>181</v>
      </c>
      <c r="O69" s="6" t="s">
        <v>23</v>
      </c>
      <c r="P69" s="5">
        <v>5</v>
      </c>
      <c r="Q69" s="6" t="s">
        <v>100</v>
      </c>
      <c r="R69" s="5">
        <v>60</v>
      </c>
      <c r="S69" s="5">
        <v>12</v>
      </c>
      <c r="T69" s="5">
        <v>89</v>
      </c>
      <c r="U69" s="6" t="s">
        <v>23</v>
      </c>
      <c r="V69" s="6" t="s">
        <v>23</v>
      </c>
      <c r="W69" s="6" t="s">
        <v>31</v>
      </c>
      <c r="X69" s="6" t="s">
        <v>215</v>
      </c>
    </row>
    <row r="70" spans="1:24" ht="17.25" customHeight="1">
      <c r="A70" s="2">
        <v>68</v>
      </c>
      <c r="B70" s="5">
        <v>174</v>
      </c>
      <c r="C70" s="6" t="s">
        <v>216</v>
      </c>
      <c r="D70" s="6" t="s">
        <v>94</v>
      </c>
      <c r="E70" s="6" t="str">
        <f>VLOOKUP($D70,date!$B$2:$E$376,2,FALSE)</f>
        <v>10.1016/j.tet.2015.08.066</v>
      </c>
      <c r="F70" s="6">
        <f>VLOOKUP($D70,date!$B$2:$E$376,3,FALSE)</f>
        <v>11</v>
      </c>
      <c r="G70" s="6">
        <f>VLOOKUP($D70,date!$B$2:$E$376,4,FALSE)</f>
        <v>2015</v>
      </c>
      <c r="H70" s="6" t="s">
        <v>95</v>
      </c>
      <c r="I70" s="6" t="s">
        <v>23</v>
      </c>
      <c r="J70" s="6" t="s">
        <v>96</v>
      </c>
      <c r="K70" s="6" t="s">
        <v>217</v>
      </c>
      <c r="L70" s="6" t="s">
        <v>213</v>
      </c>
      <c r="M70" s="6" t="s">
        <v>218</v>
      </c>
      <c r="N70" s="6" t="s">
        <v>181</v>
      </c>
      <c r="O70" s="6" t="s">
        <v>23</v>
      </c>
      <c r="P70" s="5">
        <v>5</v>
      </c>
      <c r="Q70" s="6" t="s">
        <v>100</v>
      </c>
      <c r="R70" s="5">
        <v>60</v>
      </c>
      <c r="S70" s="5">
        <v>12</v>
      </c>
      <c r="T70" s="5">
        <v>87</v>
      </c>
      <c r="U70" s="6" t="s">
        <v>23</v>
      </c>
      <c r="V70" s="6" t="s">
        <v>23</v>
      </c>
      <c r="W70" s="6" t="s">
        <v>31</v>
      </c>
      <c r="X70" s="6" t="s">
        <v>219</v>
      </c>
    </row>
    <row r="71" spans="1:24" ht="17.25" customHeight="1">
      <c r="A71" s="2">
        <v>69</v>
      </c>
      <c r="B71" s="5">
        <v>175</v>
      </c>
      <c r="C71" s="6" t="s">
        <v>220</v>
      </c>
      <c r="D71" s="6" t="s">
        <v>94</v>
      </c>
      <c r="E71" s="6" t="str">
        <f>VLOOKUP($D71,date!$B$2:$E$376,2,FALSE)</f>
        <v>10.1016/j.tet.2015.08.066</v>
      </c>
      <c r="F71" s="6">
        <f>VLOOKUP($D71,date!$B$2:$E$376,3,FALSE)</f>
        <v>11</v>
      </c>
      <c r="G71" s="6">
        <f>VLOOKUP($D71,date!$B$2:$E$376,4,FALSE)</f>
        <v>2015</v>
      </c>
      <c r="H71" s="6" t="s">
        <v>95</v>
      </c>
      <c r="I71" s="6" t="s">
        <v>23</v>
      </c>
      <c r="J71" s="6" t="s">
        <v>96</v>
      </c>
      <c r="K71" s="6" t="s">
        <v>221</v>
      </c>
      <c r="L71" s="6" t="s">
        <v>170</v>
      </c>
      <c r="M71" s="6" t="s">
        <v>222</v>
      </c>
      <c r="N71" s="6" t="s">
        <v>181</v>
      </c>
      <c r="O71" s="6" t="s">
        <v>23</v>
      </c>
      <c r="P71" s="5">
        <v>5</v>
      </c>
      <c r="Q71" s="6" t="s">
        <v>100</v>
      </c>
      <c r="R71" s="5">
        <v>60</v>
      </c>
      <c r="S71" s="5">
        <v>12</v>
      </c>
      <c r="T71" s="5">
        <v>81</v>
      </c>
      <c r="U71" s="6" t="s">
        <v>23</v>
      </c>
      <c r="V71" s="6" t="s">
        <v>23</v>
      </c>
      <c r="W71" s="6" t="s">
        <v>31</v>
      </c>
      <c r="X71" s="6" t="s">
        <v>223</v>
      </c>
    </row>
    <row r="72" spans="1:24" ht="17.25" customHeight="1">
      <c r="A72" s="2">
        <v>70</v>
      </c>
      <c r="B72" s="5">
        <v>176</v>
      </c>
      <c r="C72" s="6" t="s">
        <v>224</v>
      </c>
      <c r="D72" s="6" t="s">
        <v>94</v>
      </c>
      <c r="E72" s="6" t="str">
        <f>VLOOKUP($D72,date!$B$2:$E$376,2,FALSE)</f>
        <v>10.1016/j.tet.2015.08.066</v>
      </c>
      <c r="F72" s="6">
        <f>VLOOKUP($D72,date!$B$2:$E$376,3,FALSE)</f>
        <v>11</v>
      </c>
      <c r="G72" s="6">
        <f>VLOOKUP($D72,date!$B$2:$E$376,4,FALSE)</f>
        <v>2015</v>
      </c>
      <c r="H72" s="6" t="s">
        <v>95</v>
      </c>
      <c r="I72" s="6" t="s">
        <v>23</v>
      </c>
      <c r="J72" s="6" t="s">
        <v>96</v>
      </c>
      <c r="K72" s="6" t="s">
        <v>221</v>
      </c>
      <c r="L72" s="6" t="s">
        <v>213</v>
      </c>
      <c r="M72" s="6" t="s">
        <v>225</v>
      </c>
      <c r="N72" s="6" t="s">
        <v>181</v>
      </c>
      <c r="O72" s="6" t="s">
        <v>23</v>
      </c>
      <c r="P72" s="5">
        <v>5</v>
      </c>
      <c r="Q72" s="6" t="s">
        <v>100</v>
      </c>
      <c r="R72" s="5">
        <v>60</v>
      </c>
      <c r="S72" s="5">
        <v>12</v>
      </c>
      <c r="T72" s="5">
        <v>88</v>
      </c>
      <c r="U72" s="6" t="s">
        <v>23</v>
      </c>
      <c r="V72" s="6" t="s">
        <v>23</v>
      </c>
      <c r="W72" s="6" t="s">
        <v>31</v>
      </c>
      <c r="X72" s="6" t="s">
        <v>226</v>
      </c>
    </row>
    <row r="73" spans="1:24" ht="17.25" customHeight="1">
      <c r="A73" s="2">
        <v>71</v>
      </c>
      <c r="B73" s="5">
        <v>177</v>
      </c>
      <c r="C73" s="6" t="s">
        <v>227</v>
      </c>
      <c r="D73" s="6" t="s">
        <v>94</v>
      </c>
      <c r="E73" s="6" t="str">
        <f>VLOOKUP($D73,date!$B$2:$E$376,2,FALSE)</f>
        <v>10.1016/j.tet.2015.08.066</v>
      </c>
      <c r="F73" s="6">
        <f>VLOOKUP($D73,date!$B$2:$E$376,3,FALSE)</f>
        <v>11</v>
      </c>
      <c r="G73" s="6">
        <f>VLOOKUP($D73,date!$B$2:$E$376,4,FALSE)</f>
        <v>2015</v>
      </c>
      <c r="H73" s="6" t="s">
        <v>95</v>
      </c>
      <c r="I73" s="6" t="s">
        <v>23</v>
      </c>
      <c r="J73" s="6" t="s">
        <v>96</v>
      </c>
      <c r="K73" s="6" t="s">
        <v>228</v>
      </c>
      <c r="L73" s="6" t="s">
        <v>213</v>
      </c>
      <c r="M73" s="6" t="s">
        <v>229</v>
      </c>
      <c r="N73" s="6" t="s">
        <v>181</v>
      </c>
      <c r="O73" s="6" t="s">
        <v>23</v>
      </c>
      <c r="P73" s="5">
        <v>5</v>
      </c>
      <c r="Q73" s="6" t="s">
        <v>100</v>
      </c>
      <c r="R73" s="5">
        <v>60</v>
      </c>
      <c r="S73" s="5">
        <v>12</v>
      </c>
      <c r="T73" s="5">
        <v>90</v>
      </c>
      <c r="U73" s="6" t="s">
        <v>23</v>
      </c>
      <c r="V73" s="6" t="s">
        <v>23</v>
      </c>
      <c r="W73" s="6" t="s">
        <v>31</v>
      </c>
      <c r="X73" s="6" t="s">
        <v>230</v>
      </c>
    </row>
    <row r="74" spans="1:24" ht="17.25" customHeight="1">
      <c r="A74" s="2">
        <v>72</v>
      </c>
      <c r="B74" s="5">
        <v>178</v>
      </c>
      <c r="C74" s="6" t="s">
        <v>231</v>
      </c>
      <c r="D74" s="6" t="s">
        <v>94</v>
      </c>
      <c r="E74" s="6" t="str">
        <f>VLOOKUP($D74,date!$B$2:$E$376,2,FALSE)</f>
        <v>10.1016/j.tet.2015.08.066</v>
      </c>
      <c r="F74" s="6">
        <f>VLOOKUP($D74,date!$B$2:$E$376,3,FALSE)</f>
        <v>11</v>
      </c>
      <c r="G74" s="6">
        <f>VLOOKUP($D74,date!$B$2:$E$376,4,FALSE)</f>
        <v>2015</v>
      </c>
      <c r="H74" s="6" t="s">
        <v>95</v>
      </c>
      <c r="I74" s="6" t="s">
        <v>23</v>
      </c>
      <c r="J74" s="6" t="s">
        <v>96</v>
      </c>
      <c r="K74" s="6" t="s">
        <v>217</v>
      </c>
      <c r="L74" s="6" t="s">
        <v>98</v>
      </c>
      <c r="M74" s="6" t="s">
        <v>232</v>
      </c>
      <c r="N74" s="6" t="s">
        <v>181</v>
      </c>
      <c r="O74" s="6" t="s">
        <v>23</v>
      </c>
      <c r="P74" s="5">
        <v>5</v>
      </c>
      <c r="Q74" s="6" t="s">
        <v>100</v>
      </c>
      <c r="R74" s="5">
        <v>60</v>
      </c>
      <c r="S74" s="5">
        <v>12</v>
      </c>
      <c r="T74" s="5">
        <v>83</v>
      </c>
      <c r="U74" s="6" t="s">
        <v>23</v>
      </c>
      <c r="V74" s="6" t="s">
        <v>23</v>
      </c>
      <c r="W74" s="6" t="s">
        <v>31</v>
      </c>
      <c r="X74" s="6" t="s">
        <v>233</v>
      </c>
    </row>
    <row r="75" spans="1:24" ht="17.25" customHeight="1">
      <c r="A75" s="2">
        <v>73</v>
      </c>
      <c r="B75" s="5">
        <v>179</v>
      </c>
      <c r="C75" s="6" t="s">
        <v>234</v>
      </c>
      <c r="D75" s="6" t="s">
        <v>94</v>
      </c>
      <c r="E75" s="6" t="str">
        <f>VLOOKUP($D75,date!$B$2:$E$376,2,FALSE)</f>
        <v>10.1016/j.tet.2015.08.066</v>
      </c>
      <c r="F75" s="6">
        <f>VLOOKUP($D75,date!$B$2:$E$376,3,FALSE)</f>
        <v>11</v>
      </c>
      <c r="G75" s="6">
        <f>VLOOKUP($D75,date!$B$2:$E$376,4,FALSE)</f>
        <v>2015</v>
      </c>
      <c r="H75" s="6" t="s">
        <v>95</v>
      </c>
      <c r="I75" s="6" t="s">
        <v>23</v>
      </c>
      <c r="J75" s="6" t="s">
        <v>96</v>
      </c>
      <c r="K75" s="6" t="s">
        <v>221</v>
      </c>
      <c r="L75" s="6" t="s">
        <v>98</v>
      </c>
      <c r="M75" s="6" t="s">
        <v>235</v>
      </c>
      <c r="N75" s="6" t="s">
        <v>181</v>
      </c>
      <c r="O75" s="6" t="s">
        <v>23</v>
      </c>
      <c r="P75" s="5">
        <v>5</v>
      </c>
      <c r="Q75" s="6" t="s">
        <v>100</v>
      </c>
      <c r="R75" s="5">
        <v>60</v>
      </c>
      <c r="S75" s="5">
        <v>12</v>
      </c>
      <c r="T75" s="5">
        <v>88</v>
      </c>
      <c r="U75" s="6" t="s">
        <v>23</v>
      </c>
      <c r="V75" s="6" t="s">
        <v>23</v>
      </c>
      <c r="W75" s="6" t="s">
        <v>31</v>
      </c>
      <c r="X75" s="6" t="s">
        <v>236</v>
      </c>
    </row>
    <row r="76" spans="1:24" ht="17.25" customHeight="1">
      <c r="A76" s="2">
        <v>74</v>
      </c>
      <c r="B76" s="5">
        <v>180</v>
      </c>
      <c r="C76" s="6" t="s">
        <v>237</v>
      </c>
      <c r="D76" s="6" t="s">
        <v>94</v>
      </c>
      <c r="E76" s="6" t="str">
        <f>VLOOKUP($D76,date!$B$2:$E$376,2,FALSE)</f>
        <v>10.1016/j.tet.2015.08.066</v>
      </c>
      <c r="F76" s="6">
        <f>VLOOKUP($D76,date!$B$2:$E$376,3,FALSE)</f>
        <v>11</v>
      </c>
      <c r="G76" s="6">
        <f>VLOOKUP($D76,date!$B$2:$E$376,4,FALSE)</f>
        <v>2015</v>
      </c>
      <c r="H76" s="6" t="s">
        <v>95</v>
      </c>
      <c r="I76" s="6" t="s">
        <v>23</v>
      </c>
      <c r="J76" s="6" t="s">
        <v>96</v>
      </c>
      <c r="K76" s="6" t="s">
        <v>221</v>
      </c>
      <c r="L76" s="6" t="s">
        <v>128</v>
      </c>
      <c r="M76" s="6" t="s">
        <v>238</v>
      </c>
      <c r="N76" s="6" t="s">
        <v>181</v>
      </c>
      <c r="O76" s="6" t="s">
        <v>23</v>
      </c>
      <c r="P76" s="5">
        <v>5</v>
      </c>
      <c r="Q76" s="6" t="s">
        <v>100</v>
      </c>
      <c r="R76" s="5">
        <v>60</v>
      </c>
      <c r="S76" s="5">
        <v>12</v>
      </c>
      <c r="T76" s="5">
        <v>92</v>
      </c>
      <c r="U76" s="6" t="s">
        <v>23</v>
      </c>
      <c r="V76" s="6" t="s">
        <v>23</v>
      </c>
      <c r="W76" s="6" t="s">
        <v>31</v>
      </c>
      <c r="X76" s="6" t="s">
        <v>239</v>
      </c>
    </row>
    <row r="77" spans="1:24" ht="17.25" customHeight="1">
      <c r="A77" s="2">
        <v>75</v>
      </c>
      <c r="B77" s="5">
        <v>181</v>
      </c>
      <c r="C77" s="6" t="s">
        <v>240</v>
      </c>
      <c r="D77" s="6" t="s">
        <v>94</v>
      </c>
      <c r="E77" s="6" t="str">
        <f>VLOOKUP($D77,date!$B$2:$E$376,2,FALSE)</f>
        <v>10.1016/j.tet.2015.08.066</v>
      </c>
      <c r="F77" s="6">
        <f>VLOOKUP($D77,date!$B$2:$E$376,3,FALSE)</f>
        <v>11</v>
      </c>
      <c r="G77" s="6">
        <f>VLOOKUP($D77,date!$B$2:$E$376,4,FALSE)</f>
        <v>2015</v>
      </c>
      <c r="H77" s="6" t="s">
        <v>95</v>
      </c>
      <c r="I77" s="6" t="s">
        <v>23</v>
      </c>
      <c r="J77" s="6" t="s">
        <v>96</v>
      </c>
      <c r="K77" s="6" t="s">
        <v>212</v>
      </c>
      <c r="L77" s="6" t="s">
        <v>132</v>
      </c>
      <c r="M77" s="6" t="s">
        <v>241</v>
      </c>
      <c r="N77" s="6" t="s">
        <v>181</v>
      </c>
      <c r="O77" s="6" t="s">
        <v>23</v>
      </c>
      <c r="P77" s="5">
        <v>5</v>
      </c>
      <c r="Q77" s="6" t="s">
        <v>100</v>
      </c>
      <c r="R77" s="5">
        <v>60</v>
      </c>
      <c r="S77" s="5">
        <v>12</v>
      </c>
      <c r="T77" s="5">
        <v>89</v>
      </c>
      <c r="U77" s="6" t="s">
        <v>23</v>
      </c>
      <c r="V77" s="6" t="s">
        <v>23</v>
      </c>
      <c r="W77" s="6" t="s">
        <v>31</v>
      </c>
      <c r="X77" s="6" t="s">
        <v>242</v>
      </c>
    </row>
    <row r="78" spans="1:24" ht="17.25" customHeight="1">
      <c r="A78" s="2">
        <v>76</v>
      </c>
      <c r="B78" s="5">
        <v>182</v>
      </c>
      <c r="C78" s="6" t="s">
        <v>243</v>
      </c>
      <c r="D78" s="6" t="s">
        <v>94</v>
      </c>
      <c r="E78" s="6" t="str">
        <f>VLOOKUP($D78,date!$B$2:$E$376,2,FALSE)</f>
        <v>10.1016/j.tet.2015.08.066</v>
      </c>
      <c r="F78" s="6">
        <f>VLOOKUP($D78,date!$B$2:$E$376,3,FALSE)</f>
        <v>11</v>
      </c>
      <c r="G78" s="6">
        <f>VLOOKUP($D78,date!$B$2:$E$376,4,FALSE)</f>
        <v>2015</v>
      </c>
      <c r="H78" s="6" t="s">
        <v>95</v>
      </c>
      <c r="I78" s="6" t="s">
        <v>23</v>
      </c>
      <c r="J78" s="6" t="s">
        <v>96</v>
      </c>
      <c r="K78" s="6" t="s">
        <v>221</v>
      </c>
      <c r="L78" s="6" t="s">
        <v>132</v>
      </c>
      <c r="M78" s="6" t="s">
        <v>244</v>
      </c>
      <c r="N78" s="6" t="s">
        <v>181</v>
      </c>
      <c r="O78" s="6" t="s">
        <v>23</v>
      </c>
      <c r="P78" s="5">
        <v>5</v>
      </c>
      <c r="Q78" s="6" t="s">
        <v>100</v>
      </c>
      <c r="R78" s="5">
        <v>60</v>
      </c>
      <c r="S78" s="5">
        <v>12</v>
      </c>
      <c r="T78" s="5">
        <v>93</v>
      </c>
      <c r="U78" s="6" t="s">
        <v>23</v>
      </c>
      <c r="V78" s="6" t="s">
        <v>23</v>
      </c>
      <c r="W78" s="6" t="s">
        <v>31</v>
      </c>
      <c r="X78" s="6" t="s">
        <v>245</v>
      </c>
    </row>
    <row r="79" spans="1:24" ht="17.25" customHeight="1">
      <c r="A79" s="2">
        <v>77</v>
      </c>
      <c r="B79" s="5">
        <v>183</v>
      </c>
      <c r="C79" s="6" t="s">
        <v>246</v>
      </c>
      <c r="D79" s="6" t="s">
        <v>94</v>
      </c>
      <c r="E79" s="6" t="str">
        <f>VLOOKUP($D79,date!$B$2:$E$376,2,FALSE)</f>
        <v>10.1016/j.tet.2015.08.066</v>
      </c>
      <c r="F79" s="6">
        <f>VLOOKUP($D79,date!$B$2:$E$376,3,FALSE)</f>
        <v>11</v>
      </c>
      <c r="G79" s="6">
        <f>VLOOKUP($D79,date!$B$2:$E$376,4,FALSE)</f>
        <v>2015</v>
      </c>
      <c r="H79" s="6" t="s">
        <v>95</v>
      </c>
      <c r="I79" s="6" t="s">
        <v>23</v>
      </c>
      <c r="J79" s="6" t="s">
        <v>96</v>
      </c>
      <c r="K79" s="6" t="s">
        <v>217</v>
      </c>
      <c r="L79" s="6" t="s">
        <v>132</v>
      </c>
      <c r="M79" s="6" t="s">
        <v>247</v>
      </c>
      <c r="N79" s="6" t="s">
        <v>181</v>
      </c>
      <c r="O79" s="6" t="s">
        <v>23</v>
      </c>
      <c r="P79" s="5">
        <v>5</v>
      </c>
      <c r="Q79" s="6" t="s">
        <v>100</v>
      </c>
      <c r="R79" s="5">
        <v>60</v>
      </c>
      <c r="S79" s="5">
        <v>12</v>
      </c>
      <c r="T79" s="5">
        <v>86</v>
      </c>
      <c r="U79" s="6" t="s">
        <v>23</v>
      </c>
      <c r="V79" s="6" t="s">
        <v>23</v>
      </c>
      <c r="W79" s="6" t="s">
        <v>31</v>
      </c>
      <c r="X79" s="6" t="s">
        <v>248</v>
      </c>
    </row>
    <row r="80" spans="1:24" ht="17.25" customHeight="1">
      <c r="A80" s="2">
        <v>78</v>
      </c>
      <c r="B80" s="5">
        <v>184</v>
      </c>
      <c r="C80" s="6" t="s">
        <v>249</v>
      </c>
      <c r="D80" s="6" t="s">
        <v>94</v>
      </c>
      <c r="E80" s="6" t="str">
        <f>VLOOKUP($D80,date!$B$2:$E$376,2,FALSE)</f>
        <v>10.1016/j.tet.2015.08.066</v>
      </c>
      <c r="F80" s="6">
        <f>VLOOKUP($D80,date!$B$2:$E$376,3,FALSE)</f>
        <v>11</v>
      </c>
      <c r="G80" s="6">
        <f>VLOOKUP($D80,date!$B$2:$E$376,4,FALSE)</f>
        <v>2015</v>
      </c>
      <c r="H80" s="6" t="s">
        <v>95</v>
      </c>
      <c r="I80" s="6" t="s">
        <v>23</v>
      </c>
      <c r="J80" s="6" t="s">
        <v>96</v>
      </c>
      <c r="K80" s="6" t="s">
        <v>217</v>
      </c>
      <c r="L80" s="6" t="s">
        <v>177</v>
      </c>
      <c r="M80" s="6" t="s">
        <v>250</v>
      </c>
      <c r="N80" s="6" t="s">
        <v>181</v>
      </c>
      <c r="O80" s="6" t="s">
        <v>23</v>
      </c>
      <c r="P80" s="5">
        <v>5</v>
      </c>
      <c r="Q80" s="6" t="s">
        <v>100</v>
      </c>
      <c r="R80" s="5">
        <v>60</v>
      </c>
      <c r="S80" s="5">
        <v>12</v>
      </c>
      <c r="T80" s="5">
        <v>71</v>
      </c>
      <c r="U80" s="6" t="s">
        <v>23</v>
      </c>
      <c r="V80" s="6" t="s">
        <v>23</v>
      </c>
      <c r="W80" s="6" t="s">
        <v>31</v>
      </c>
      <c r="X80" s="6" t="s">
        <v>251</v>
      </c>
    </row>
    <row r="81" spans="1:24" ht="17.25" customHeight="1">
      <c r="A81" s="2">
        <v>79</v>
      </c>
      <c r="B81" s="5">
        <v>185</v>
      </c>
      <c r="C81" s="6" t="s">
        <v>252</v>
      </c>
      <c r="D81" s="6" t="s">
        <v>94</v>
      </c>
      <c r="E81" s="6" t="str">
        <f>VLOOKUP($D81,date!$B$2:$E$376,2,FALSE)</f>
        <v>10.1016/j.tet.2015.08.066</v>
      </c>
      <c r="F81" s="6">
        <f>VLOOKUP($D81,date!$B$2:$E$376,3,FALSE)</f>
        <v>11</v>
      </c>
      <c r="G81" s="6">
        <f>VLOOKUP($D81,date!$B$2:$E$376,4,FALSE)</f>
        <v>2015</v>
      </c>
      <c r="H81" s="6" t="s">
        <v>95</v>
      </c>
      <c r="I81" s="6" t="s">
        <v>23</v>
      </c>
      <c r="J81" s="6" t="s">
        <v>96</v>
      </c>
      <c r="K81" s="6" t="s">
        <v>217</v>
      </c>
      <c r="L81" s="6" t="s">
        <v>253</v>
      </c>
      <c r="M81" s="6" t="s">
        <v>254</v>
      </c>
      <c r="N81" s="6" t="s">
        <v>181</v>
      </c>
      <c r="O81" s="6" t="s">
        <v>23</v>
      </c>
      <c r="P81" s="5">
        <v>5</v>
      </c>
      <c r="Q81" s="6" t="s">
        <v>100</v>
      </c>
      <c r="R81" s="5">
        <v>60</v>
      </c>
      <c r="S81" s="5">
        <v>12</v>
      </c>
      <c r="T81" s="5">
        <v>78</v>
      </c>
      <c r="U81" s="6" t="s">
        <v>23</v>
      </c>
      <c r="V81" s="6" t="s">
        <v>23</v>
      </c>
      <c r="W81" s="6" t="s">
        <v>31</v>
      </c>
      <c r="X81" s="6" t="s">
        <v>255</v>
      </c>
    </row>
    <row r="82" spans="1:24" ht="17.25" customHeight="1">
      <c r="A82" s="2">
        <v>80</v>
      </c>
      <c r="B82" s="5">
        <v>186</v>
      </c>
      <c r="C82" s="6" t="s">
        <v>256</v>
      </c>
      <c r="D82" s="6" t="s">
        <v>94</v>
      </c>
      <c r="E82" s="6" t="str">
        <f>VLOOKUP($D82,date!$B$2:$E$376,2,FALSE)</f>
        <v>10.1016/j.tet.2015.08.066</v>
      </c>
      <c r="F82" s="6">
        <f>VLOOKUP($D82,date!$B$2:$E$376,3,FALSE)</f>
        <v>11</v>
      </c>
      <c r="G82" s="6">
        <f>VLOOKUP($D82,date!$B$2:$E$376,4,FALSE)</f>
        <v>2015</v>
      </c>
      <c r="H82" s="6" t="s">
        <v>95</v>
      </c>
      <c r="I82" s="6" t="s">
        <v>23</v>
      </c>
      <c r="J82" s="6" t="s">
        <v>96</v>
      </c>
      <c r="K82" s="6" t="s">
        <v>228</v>
      </c>
      <c r="L82" s="6" t="s">
        <v>132</v>
      </c>
      <c r="M82" s="6" t="s">
        <v>257</v>
      </c>
      <c r="N82" s="6" t="s">
        <v>181</v>
      </c>
      <c r="O82" s="6" t="s">
        <v>23</v>
      </c>
      <c r="P82" s="5">
        <v>5</v>
      </c>
      <c r="Q82" s="6" t="s">
        <v>100</v>
      </c>
      <c r="R82" s="5">
        <v>60</v>
      </c>
      <c r="S82" s="5">
        <v>12</v>
      </c>
      <c r="T82" s="5">
        <v>83</v>
      </c>
      <c r="U82" s="6" t="s">
        <v>23</v>
      </c>
      <c r="V82" s="6" t="s">
        <v>23</v>
      </c>
      <c r="W82" s="6" t="s">
        <v>31</v>
      </c>
      <c r="X82" s="6" t="s">
        <v>258</v>
      </c>
    </row>
    <row r="83" spans="1:24" ht="17.25" customHeight="1">
      <c r="A83" s="2">
        <v>81</v>
      </c>
      <c r="B83" s="5">
        <v>187</v>
      </c>
      <c r="C83" s="6" t="s">
        <v>259</v>
      </c>
      <c r="D83" s="6" t="s">
        <v>94</v>
      </c>
      <c r="E83" s="6" t="str">
        <f>VLOOKUP($D83,date!$B$2:$E$376,2,FALSE)</f>
        <v>10.1016/j.tet.2015.08.066</v>
      </c>
      <c r="F83" s="6">
        <f>VLOOKUP($D83,date!$B$2:$E$376,3,FALSE)</f>
        <v>11</v>
      </c>
      <c r="G83" s="6">
        <f>VLOOKUP($D83,date!$B$2:$E$376,4,FALSE)</f>
        <v>2015</v>
      </c>
      <c r="H83" s="6" t="s">
        <v>95</v>
      </c>
      <c r="I83" s="6" t="s">
        <v>23</v>
      </c>
      <c r="J83" s="6" t="s">
        <v>96</v>
      </c>
      <c r="K83" s="6" t="s">
        <v>217</v>
      </c>
      <c r="L83" s="6" t="s">
        <v>143</v>
      </c>
      <c r="M83" s="6" t="s">
        <v>260</v>
      </c>
      <c r="N83" s="6" t="s">
        <v>181</v>
      </c>
      <c r="O83" s="6" t="s">
        <v>23</v>
      </c>
      <c r="P83" s="5">
        <v>5</v>
      </c>
      <c r="Q83" s="6" t="s">
        <v>100</v>
      </c>
      <c r="R83" s="5">
        <v>60</v>
      </c>
      <c r="S83" s="5">
        <v>12</v>
      </c>
      <c r="T83" s="5">
        <v>80</v>
      </c>
      <c r="U83" s="6" t="s">
        <v>23</v>
      </c>
      <c r="V83" s="6" t="s">
        <v>23</v>
      </c>
      <c r="W83" s="6" t="s">
        <v>31</v>
      </c>
      <c r="X83" s="6" t="s">
        <v>261</v>
      </c>
    </row>
    <row r="84" spans="1:24" ht="17.25" customHeight="1">
      <c r="A84" s="2">
        <v>82</v>
      </c>
      <c r="B84" s="5">
        <v>188</v>
      </c>
      <c r="C84" s="6" t="s">
        <v>262</v>
      </c>
      <c r="D84" s="6" t="s">
        <v>94</v>
      </c>
      <c r="E84" s="6" t="str">
        <f>VLOOKUP($D84,date!$B$2:$E$376,2,FALSE)</f>
        <v>10.1016/j.tet.2015.08.066</v>
      </c>
      <c r="F84" s="6">
        <f>VLOOKUP($D84,date!$B$2:$E$376,3,FALSE)</f>
        <v>11</v>
      </c>
      <c r="G84" s="6">
        <f>VLOOKUP($D84,date!$B$2:$E$376,4,FALSE)</f>
        <v>2015</v>
      </c>
      <c r="H84" s="6" t="s">
        <v>95</v>
      </c>
      <c r="I84" s="6" t="s">
        <v>23</v>
      </c>
      <c r="J84" s="6" t="s">
        <v>96</v>
      </c>
      <c r="K84" s="6" t="s">
        <v>217</v>
      </c>
      <c r="L84" s="6" t="s">
        <v>263</v>
      </c>
      <c r="M84" s="6" t="s">
        <v>264</v>
      </c>
      <c r="N84" s="6" t="s">
        <v>181</v>
      </c>
      <c r="O84" s="6" t="s">
        <v>23</v>
      </c>
      <c r="P84" s="5">
        <v>5</v>
      </c>
      <c r="Q84" s="6" t="s">
        <v>100</v>
      </c>
      <c r="R84" s="5">
        <v>60</v>
      </c>
      <c r="S84" s="5">
        <v>12</v>
      </c>
      <c r="T84" s="5">
        <v>76</v>
      </c>
      <c r="U84" s="6" t="s">
        <v>23</v>
      </c>
      <c r="V84" s="6" t="s">
        <v>23</v>
      </c>
      <c r="W84" s="6" t="s">
        <v>31</v>
      </c>
      <c r="X84" s="6" t="s">
        <v>265</v>
      </c>
    </row>
    <row r="85" spans="1:24" ht="17.25" customHeight="1">
      <c r="A85" s="2">
        <v>83</v>
      </c>
      <c r="B85" s="5">
        <v>189</v>
      </c>
      <c r="C85" s="6" t="s">
        <v>266</v>
      </c>
      <c r="D85" s="6" t="s">
        <v>94</v>
      </c>
      <c r="E85" s="6" t="str">
        <f>VLOOKUP($D85,date!$B$2:$E$376,2,FALSE)</f>
        <v>10.1016/j.tet.2015.08.066</v>
      </c>
      <c r="F85" s="6">
        <f>VLOOKUP($D85,date!$B$2:$E$376,3,FALSE)</f>
        <v>11</v>
      </c>
      <c r="G85" s="6">
        <f>VLOOKUP($D85,date!$B$2:$E$376,4,FALSE)</f>
        <v>2015</v>
      </c>
      <c r="H85" s="6" t="s">
        <v>95</v>
      </c>
      <c r="I85" s="6" t="s">
        <v>23</v>
      </c>
      <c r="J85" s="6" t="s">
        <v>96</v>
      </c>
      <c r="K85" s="6" t="s">
        <v>267</v>
      </c>
      <c r="L85" s="6" t="s">
        <v>132</v>
      </c>
      <c r="M85" s="6" t="s">
        <v>268</v>
      </c>
      <c r="N85" s="6" t="s">
        <v>181</v>
      </c>
      <c r="O85" s="6" t="s">
        <v>23</v>
      </c>
      <c r="P85" s="5">
        <v>5</v>
      </c>
      <c r="Q85" s="6" t="s">
        <v>100</v>
      </c>
      <c r="R85" s="5">
        <v>60</v>
      </c>
      <c r="S85" s="5">
        <v>12</v>
      </c>
      <c r="T85" s="5">
        <v>75</v>
      </c>
      <c r="U85" s="6" t="s">
        <v>23</v>
      </c>
      <c r="V85" s="6" t="s">
        <v>23</v>
      </c>
      <c r="W85" s="6" t="s">
        <v>31</v>
      </c>
      <c r="X85" s="6" t="s">
        <v>269</v>
      </c>
    </row>
    <row r="86" spans="1:24" ht="17.25" customHeight="1">
      <c r="A86" s="2">
        <v>84</v>
      </c>
      <c r="B86" s="5">
        <v>190</v>
      </c>
      <c r="C86" s="6" t="s">
        <v>270</v>
      </c>
      <c r="D86" s="6" t="s">
        <v>94</v>
      </c>
      <c r="E86" s="6" t="str">
        <f>VLOOKUP($D86,date!$B$2:$E$376,2,FALSE)</f>
        <v>10.1016/j.tet.2015.08.066</v>
      </c>
      <c r="F86" s="6">
        <f>VLOOKUP($D86,date!$B$2:$E$376,3,FALSE)</f>
        <v>11</v>
      </c>
      <c r="G86" s="6">
        <f>VLOOKUP($D86,date!$B$2:$E$376,4,FALSE)</f>
        <v>2015</v>
      </c>
      <c r="H86" s="6" t="s">
        <v>95</v>
      </c>
      <c r="I86" s="6" t="s">
        <v>23</v>
      </c>
      <c r="J86" s="6" t="s">
        <v>96</v>
      </c>
      <c r="K86" s="6" t="s">
        <v>267</v>
      </c>
      <c r="L86" s="6" t="s">
        <v>128</v>
      </c>
      <c r="M86" s="6" t="s">
        <v>271</v>
      </c>
      <c r="N86" s="6" t="s">
        <v>181</v>
      </c>
      <c r="O86" s="6" t="s">
        <v>23</v>
      </c>
      <c r="P86" s="5">
        <v>5</v>
      </c>
      <c r="Q86" s="6" t="s">
        <v>100</v>
      </c>
      <c r="R86" s="5">
        <v>60</v>
      </c>
      <c r="S86" s="5">
        <v>12</v>
      </c>
      <c r="T86" s="5">
        <v>71</v>
      </c>
      <c r="U86" s="6" t="s">
        <v>23</v>
      </c>
      <c r="V86" s="6" t="s">
        <v>23</v>
      </c>
      <c r="W86" s="6" t="s">
        <v>31</v>
      </c>
      <c r="X86" s="6" t="s">
        <v>272</v>
      </c>
    </row>
    <row r="87" spans="1:24" ht="17.25" customHeight="1">
      <c r="A87" s="2">
        <v>85</v>
      </c>
      <c r="B87" s="5">
        <v>191</v>
      </c>
      <c r="C87" s="6" t="s">
        <v>273</v>
      </c>
      <c r="D87" s="6" t="s">
        <v>94</v>
      </c>
      <c r="E87" s="6" t="str">
        <f>VLOOKUP($D87,date!$B$2:$E$376,2,FALSE)</f>
        <v>10.1016/j.tet.2015.08.066</v>
      </c>
      <c r="F87" s="6">
        <f>VLOOKUP($D87,date!$B$2:$E$376,3,FALSE)</f>
        <v>11</v>
      </c>
      <c r="G87" s="6">
        <f>VLOOKUP($D87,date!$B$2:$E$376,4,FALSE)</f>
        <v>2015</v>
      </c>
      <c r="H87" s="6" t="s">
        <v>95</v>
      </c>
      <c r="I87" s="6" t="s">
        <v>23</v>
      </c>
      <c r="J87" s="6" t="s">
        <v>96</v>
      </c>
      <c r="K87" s="6" t="s">
        <v>267</v>
      </c>
      <c r="L87" s="6" t="s">
        <v>132</v>
      </c>
      <c r="M87" s="6" t="s">
        <v>268</v>
      </c>
      <c r="N87" s="6" t="s">
        <v>181</v>
      </c>
      <c r="O87" s="6" t="s">
        <v>23</v>
      </c>
      <c r="P87" s="5">
        <v>5</v>
      </c>
      <c r="Q87" s="6" t="s">
        <v>100</v>
      </c>
      <c r="R87" s="5">
        <v>60</v>
      </c>
      <c r="S87" s="5">
        <v>12</v>
      </c>
      <c r="T87" s="5">
        <v>72</v>
      </c>
      <c r="U87" s="6" t="s">
        <v>23</v>
      </c>
      <c r="V87" s="6" t="s">
        <v>23</v>
      </c>
      <c r="W87" s="6" t="s">
        <v>31</v>
      </c>
      <c r="X87" s="6" t="s">
        <v>269</v>
      </c>
    </row>
    <row r="88" spans="1:24" ht="17.25" customHeight="1">
      <c r="A88" s="2">
        <v>86</v>
      </c>
      <c r="B88" s="5">
        <v>192</v>
      </c>
      <c r="C88" s="6" t="s">
        <v>274</v>
      </c>
      <c r="D88" s="6" t="s">
        <v>94</v>
      </c>
      <c r="E88" s="6" t="str">
        <f>VLOOKUP($D88,date!$B$2:$E$376,2,FALSE)</f>
        <v>10.1016/j.tet.2015.08.066</v>
      </c>
      <c r="F88" s="6">
        <f>VLOOKUP($D88,date!$B$2:$E$376,3,FALSE)</f>
        <v>11</v>
      </c>
      <c r="G88" s="6">
        <f>VLOOKUP($D88,date!$B$2:$E$376,4,FALSE)</f>
        <v>2015</v>
      </c>
      <c r="H88" s="6" t="s">
        <v>95</v>
      </c>
      <c r="I88" s="6" t="s">
        <v>23</v>
      </c>
      <c r="J88" s="6" t="s">
        <v>96</v>
      </c>
      <c r="K88" s="6" t="s">
        <v>135</v>
      </c>
      <c r="L88" s="6" t="s">
        <v>275</v>
      </c>
      <c r="M88" s="6" t="s">
        <v>276</v>
      </c>
      <c r="N88" s="6" t="s">
        <v>181</v>
      </c>
      <c r="O88" s="6" t="s">
        <v>23</v>
      </c>
      <c r="P88" s="5">
        <v>5</v>
      </c>
      <c r="Q88" s="6" t="s">
        <v>100</v>
      </c>
      <c r="R88" s="5">
        <v>100</v>
      </c>
      <c r="S88" s="5">
        <v>16</v>
      </c>
      <c r="T88" s="5">
        <v>95</v>
      </c>
      <c r="U88" s="6" t="s">
        <v>23</v>
      </c>
      <c r="V88" s="6" t="s">
        <v>23</v>
      </c>
      <c r="W88" s="6" t="s">
        <v>31</v>
      </c>
      <c r="X88" s="6" t="s">
        <v>277</v>
      </c>
    </row>
    <row r="89" spans="1:24" ht="17.25" customHeight="1">
      <c r="A89" s="2">
        <v>87</v>
      </c>
      <c r="B89" s="5">
        <v>193</v>
      </c>
      <c r="C89" s="6" t="s">
        <v>278</v>
      </c>
      <c r="D89" s="6" t="s">
        <v>94</v>
      </c>
      <c r="E89" s="6" t="str">
        <f>VLOOKUP($D89,date!$B$2:$E$376,2,FALSE)</f>
        <v>10.1016/j.tet.2015.08.066</v>
      </c>
      <c r="F89" s="6">
        <f>VLOOKUP($D89,date!$B$2:$E$376,3,FALSE)</f>
        <v>11</v>
      </c>
      <c r="G89" s="6">
        <f>VLOOKUP($D89,date!$B$2:$E$376,4,FALSE)</f>
        <v>2015</v>
      </c>
      <c r="H89" s="6" t="s">
        <v>95</v>
      </c>
      <c r="I89" s="6" t="s">
        <v>23</v>
      </c>
      <c r="J89" s="6" t="s">
        <v>96</v>
      </c>
      <c r="K89" s="6" t="s">
        <v>142</v>
      </c>
      <c r="L89" s="6" t="s">
        <v>275</v>
      </c>
      <c r="M89" s="6" t="s">
        <v>279</v>
      </c>
      <c r="N89" s="6" t="s">
        <v>181</v>
      </c>
      <c r="O89" s="6" t="s">
        <v>23</v>
      </c>
      <c r="P89" s="5">
        <v>5</v>
      </c>
      <c r="Q89" s="6" t="s">
        <v>100</v>
      </c>
      <c r="R89" s="5">
        <v>100</v>
      </c>
      <c r="S89" s="5">
        <v>16</v>
      </c>
      <c r="T89" s="5">
        <v>93</v>
      </c>
      <c r="U89" s="6" t="s">
        <v>23</v>
      </c>
      <c r="V89" s="6" t="s">
        <v>23</v>
      </c>
      <c r="W89" s="6" t="s">
        <v>31</v>
      </c>
      <c r="X89" s="6" t="s">
        <v>280</v>
      </c>
    </row>
    <row r="90" spans="1:24" ht="17.25" customHeight="1">
      <c r="A90" s="2">
        <v>88</v>
      </c>
      <c r="B90" s="5">
        <v>194</v>
      </c>
      <c r="C90" s="6" t="s">
        <v>281</v>
      </c>
      <c r="D90" s="6" t="s">
        <v>94</v>
      </c>
      <c r="E90" s="6" t="str">
        <f>VLOOKUP($D90,date!$B$2:$E$376,2,FALSE)</f>
        <v>10.1016/j.tet.2015.08.066</v>
      </c>
      <c r="F90" s="6">
        <f>VLOOKUP($D90,date!$B$2:$E$376,3,FALSE)</f>
        <v>11</v>
      </c>
      <c r="G90" s="6">
        <f>VLOOKUP($D90,date!$B$2:$E$376,4,FALSE)</f>
        <v>2015</v>
      </c>
      <c r="H90" s="6" t="s">
        <v>95</v>
      </c>
      <c r="I90" s="6" t="s">
        <v>23</v>
      </c>
      <c r="J90" s="6" t="s">
        <v>96</v>
      </c>
      <c r="K90" s="6" t="s">
        <v>127</v>
      </c>
      <c r="L90" s="6" t="s">
        <v>275</v>
      </c>
      <c r="M90" s="6" t="s">
        <v>282</v>
      </c>
      <c r="N90" s="6" t="s">
        <v>181</v>
      </c>
      <c r="O90" s="6" t="s">
        <v>23</v>
      </c>
      <c r="P90" s="5">
        <v>5</v>
      </c>
      <c r="Q90" s="6" t="s">
        <v>100</v>
      </c>
      <c r="R90" s="5">
        <v>100</v>
      </c>
      <c r="S90" s="5">
        <v>16</v>
      </c>
      <c r="T90" s="5">
        <v>92</v>
      </c>
      <c r="U90" s="6" t="s">
        <v>23</v>
      </c>
      <c r="V90" s="6" t="s">
        <v>23</v>
      </c>
      <c r="W90" s="6" t="s">
        <v>31</v>
      </c>
      <c r="X90" s="6" t="s">
        <v>283</v>
      </c>
    </row>
    <row r="91" spans="1:24" ht="17.25" customHeight="1">
      <c r="A91" s="2">
        <v>89</v>
      </c>
      <c r="B91" s="5">
        <v>195</v>
      </c>
      <c r="C91" s="6" t="s">
        <v>284</v>
      </c>
      <c r="D91" s="6" t="s">
        <v>94</v>
      </c>
      <c r="E91" s="6" t="str">
        <f>VLOOKUP($D91,date!$B$2:$E$376,2,FALSE)</f>
        <v>10.1016/j.tet.2015.08.066</v>
      </c>
      <c r="F91" s="6">
        <f>VLOOKUP($D91,date!$B$2:$E$376,3,FALSE)</f>
        <v>11</v>
      </c>
      <c r="G91" s="6">
        <f>VLOOKUP($D91,date!$B$2:$E$376,4,FALSE)</f>
        <v>2015</v>
      </c>
      <c r="H91" s="6" t="s">
        <v>95</v>
      </c>
      <c r="I91" s="6" t="s">
        <v>23</v>
      </c>
      <c r="J91" s="6" t="s">
        <v>96</v>
      </c>
      <c r="K91" s="6" t="s">
        <v>169</v>
      </c>
      <c r="L91" s="6" t="s">
        <v>275</v>
      </c>
      <c r="M91" s="6" t="s">
        <v>285</v>
      </c>
      <c r="N91" s="6" t="s">
        <v>181</v>
      </c>
      <c r="O91" s="6" t="s">
        <v>23</v>
      </c>
      <c r="P91" s="5">
        <v>5</v>
      </c>
      <c r="Q91" s="6" t="s">
        <v>100</v>
      </c>
      <c r="R91" s="5">
        <v>100</v>
      </c>
      <c r="S91" s="5">
        <v>16</v>
      </c>
      <c r="T91" s="5">
        <v>90</v>
      </c>
      <c r="U91" s="6" t="s">
        <v>23</v>
      </c>
      <c r="V91" s="6" t="s">
        <v>23</v>
      </c>
      <c r="W91" s="6" t="s">
        <v>31</v>
      </c>
      <c r="X91" s="6" t="s">
        <v>286</v>
      </c>
    </row>
    <row r="92" spans="1:24" ht="17.25" customHeight="1">
      <c r="A92" s="2">
        <v>90</v>
      </c>
      <c r="B92" s="5">
        <v>196</v>
      </c>
      <c r="C92" s="6" t="s">
        <v>287</v>
      </c>
      <c r="D92" s="6" t="s">
        <v>94</v>
      </c>
      <c r="E92" s="6" t="str">
        <f>VLOOKUP($D92,date!$B$2:$E$376,2,FALSE)</f>
        <v>10.1016/j.tet.2015.08.066</v>
      </c>
      <c r="F92" s="6">
        <f>VLOOKUP($D92,date!$B$2:$E$376,3,FALSE)</f>
        <v>11</v>
      </c>
      <c r="G92" s="6">
        <f>VLOOKUP($D92,date!$B$2:$E$376,4,FALSE)</f>
        <v>2015</v>
      </c>
      <c r="H92" s="6" t="s">
        <v>95</v>
      </c>
      <c r="I92" s="6" t="s">
        <v>23</v>
      </c>
      <c r="J92" s="6" t="s">
        <v>96</v>
      </c>
      <c r="K92" s="6" t="s">
        <v>288</v>
      </c>
      <c r="L92" s="6" t="s">
        <v>275</v>
      </c>
      <c r="M92" s="6" t="s">
        <v>289</v>
      </c>
      <c r="N92" s="6" t="s">
        <v>181</v>
      </c>
      <c r="O92" s="6" t="s">
        <v>23</v>
      </c>
      <c r="P92" s="5">
        <v>5</v>
      </c>
      <c r="Q92" s="6" t="s">
        <v>100</v>
      </c>
      <c r="R92" s="5">
        <v>100</v>
      </c>
      <c r="S92" s="5">
        <v>16</v>
      </c>
      <c r="T92" s="5">
        <v>93</v>
      </c>
      <c r="U92" s="6" t="s">
        <v>23</v>
      </c>
      <c r="V92" s="6" t="s">
        <v>23</v>
      </c>
      <c r="W92" s="6" t="s">
        <v>31</v>
      </c>
      <c r="X92" s="6" t="s">
        <v>290</v>
      </c>
    </row>
    <row r="93" spans="1:24" ht="17.25" customHeight="1">
      <c r="A93" s="2">
        <v>91</v>
      </c>
      <c r="B93" s="5">
        <v>197</v>
      </c>
      <c r="C93" s="6" t="s">
        <v>291</v>
      </c>
      <c r="D93" s="6" t="s">
        <v>94</v>
      </c>
      <c r="E93" s="6" t="str">
        <f>VLOOKUP($D93,date!$B$2:$E$376,2,FALSE)</f>
        <v>10.1016/j.tet.2015.08.066</v>
      </c>
      <c r="F93" s="6">
        <f>VLOOKUP($D93,date!$B$2:$E$376,3,FALSE)</f>
        <v>11</v>
      </c>
      <c r="G93" s="6">
        <f>VLOOKUP($D93,date!$B$2:$E$376,4,FALSE)</f>
        <v>2015</v>
      </c>
      <c r="H93" s="6" t="s">
        <v>95</v>
      </c>
      <c r="I93" s="6" t="s">
        <v>23</v>
      </c>
      <c r="J93" s="6" t="s">
        <v>96</v>
      </c>
      <c r="K93" s="6" t="s">
        <v>131</v>
      </c>
      <c r="L93" s="6" t="s">
        <v>275</v>
      </c>
      <c r="M93" s="6" t="s">
        <v>292</v>
      </c>
      <c r="N93" s="6" t="s">
        <v>181</v>
      </c>
      <c r="O93" s="6" t="s">
        <v>23</v>
      </c>
      <c r="P93" s="5">
        <v>5</v>
      </c>
      <c r="Q93" s="6" t="s">
        <v>100</v>
      </c>
      <c r="R93" s="5">
        <v>100</v>
      </c>
      <c r="S93" s="5">
        <v>16</v>
      </c>
      <c r="T93" s="5">
        <v>91</v>
      </c>
      <c r="U93" s="6" t="s">
        <v>23</v>
      </c>
      <c r="V93" s="6" t="s">
        <v>23</v>
      </c>
      <c r="W93" s="6" t="s">
        <v>31</v>
      </c>
      <c r="X93" s="6" t="s">
        <v>293</v>
      </c>
    </row>
    <row r="94" spans="1:24" ht="17.25" customHeight="1">
      <c r="A94" s="2">
        <v>92</v>
      </c>
      <c r="B94" s="5">
        <v>198</v>
      </c>
      <c r="C94" s="6" t="s">
        <v>294</v>
      </c>
      <c r="D94" s="6" t="s">
        <v>94</v>
      </c>
      <c r="E94" s="6" t="str">
        <f>VLOOKUP($D94,date!$B$2:$E$376,2,FALSE)</f>
        <v>10.1016/j.tet.2015.08.066</v>
      </c>
      <c r="F94" s="6">
        <f>VLOOKUP($D94,date!$B$2:$E$376,3,FALSE)</f>
        <v>11</v>
      </c>
      <c r="G94" s="6">
        <f>VLOOKUP($D94,date!$B$2:$E$376,4,FALSE)</f>
        <v>2015</v>
      </c>
      <c r="H94" s="6" t="s">
        <v>95</v>
      </c>
      <c r="I94" s="6" t="s">
        <v>23</v>
      </c>
      <c r="J94" s="6" t="s">
        <v>96</v>
      </c>
      <c r="K94" s="6" t="s">
        <v>87</v>
      </c>
      <c r="L94" s="6" t="s">
        <v>275</v>
      </c>
      <c r="M94" s="6" t="s">
        <v>295</v>
      </c>
      <c r="N94" s="6" t="s">
        <v>181</v>
      </c>
      <c r="O94" s="6" t="s">
        <v>23</v>
      </c>
      <c r="P94" s="5">
        <v>5</v>
      </c>
      <c r="Q94" s="6" t="s">
        <v>100</v>
      </c>
      <c r="R94" s="5">
        <v>100</v>
      </c>
      <c r="S94" s="5">
        <v>16</v>
      </c>
      <c r="T94" s="5">
        <v>94</v>
      </c>
      <c r="U94" s="6" t="s">
        <v>23</v>
      </c>
      <c r="V94" s="6" t="s">
        <v>23</v>
      </c>
      <c r="W94" s="6" t="s">
        <v>31</v>
      </c>
      <c r="X94" s="6" t="s">
        <v>296</v>
      </c>
    </row>
    <row r="95" spans="1:24" ht="17.25" customHeight="1">
      <c r="A95" s="2">
        <v>93</v>
      </c>
      <c r="B95" s="5">
        <v>199</v>
      </c>
      <c r="C95" s="6" t="s">
        <v>297</v>
      </c>
      <c r="D95" s="6" t="s">
        <v>94</v>
      </c>
      <c r="E95" s="6" t="str">
        <f>VLOOKUP($D95,date!$B$2:$E$376,2,FALSE)</f>
        <v>10.1016/j.tet.2015.08.066</v>
      </c>
      <c r="F95" s="6">
        <f>VLOOKUP($D95,date!$B$2:$E$376,3,FALSE)</f>
        <v>11</v>
      </c>
      <c r="G95" s="6">
        <f>VLOOKUP($D95,date!$B$2:$E$376,4,FALSE)</f>
        <v>2015</v>
      </c>
      <c r="H95" s="6" t="s">
        <v>95</v>
      </c>
      <c r="I95" s="6" t="s">
        <v>23</v>
      </c>
      <c r="J95" s="6" t="s">
        <v>96</v>
      </c>
      <c r="K95" s="6" t="s">
        <v>298</v>
      </c>
      <c r="L95" s="6" t="s">
        <v>275</v>
      </c>
      <c r="M95" s="6" t="s">
        <v>299</v>
      </c>
      <c r="N95" s="6" t="s">
        <v>181</v>
      </c>
      <c r="O95" s="6" t="s">
        <v>23</v>
      </c>
      <c r="P95" s="5">
        <v>5</v>
      </c>
      <c r="Q95" s="6" t="s">
        <v>100</v>
      </c>
      <c r="R95" s="5">
        <v>100</v>
      </c>
      <c r="S95" s="5">
        <v>16</v>
      </c>
      <c r="T95" s="5">
        <v>91</v>
      </c>
      <c r="U95" s="6" t="s">
        <v>23</v>
      </c>
      <c r="V95" s="6" t="s">
        <v>23</v>
      </c>
      <c r="W95" s="6" t="s">
        <v>31</v>
      </c>
      <c r="X95" s="6" t="s">
        <v>300</v>
      </c>
    </row>
    <row r="96" spans="1:24" ht="17.25" customHeight="1">
      <c r="A96" s="2">
        <v>94</v>
      </c>
      <c r="B96" s="5">
        <v>200</v>
      </c>
      <c r="C96" s="6" t="s">
        <v>301</v>
      </c>
      <c r="D96" s="6" t="s">
        <v>302</v>
      </c>
      <c r="E96" s="6" t="str">
        <f>VLOOKUP($D96,date!$B$2:$E$376,2,FALSE)</f>
        <v>10.1055/s-0029-1218691</v>
      </c>
      <c r="F96" s="6">
        <f>VLOOKUP($D96,date!$B$2:$E$376,3,FALSE)</f>
        <v>3</v>
      </c>
      <c r="G96" s="6">
        <f>VLOOKUP($D96,date!$B$2:$E$376,4,FALSE)</f>
        <v>2010</v>
      </c>
      <c r="H96" s="6" t="s">
        <v>303</v>
      </c>
      <c r="I96" s="6" t="s">
        <v>23</v>
      </c>
      <c r="J96" s="6" t="s">
        <v>304</v>
      </c>
      <c r="K96" s="6" t="s">
        <v>25</v>
      </c>
      <c r="L96" s="6" t="s">
        <v>305</v>
      </c>
      <c r="M96" s="6" t="s">
        <v>306</v>
      </c>
      <c r="N96" s="6" t="s">
        <v>181</v>
      </c>
      <c r="O96" s="6" t="s">
        <v>23</v>
      </c>
      <c r="P96" s="5">
        <v>5</v>
      </c>
      <c r="Q96" s="6" t="s">
        <v>100</v>
      </c>
      <c r="R96" s="5">
        <v>60</v>
      </c>
      <c r="S96" s="5">
        <v>5</v>
      </c>
      <c r="T96" s="5">
        <v>5</v>
      </c>
      <c r="U96" s="6" t="s">
        <v>23</v>
      </c>
      <c r="V96" s="6" t="s">
        <v>307</v>
      </c>
      <c r="W96" s="6" t="s">
        <v>31</v>
      </c>
      <c r="X96" s="6" t="s">
        <v>308</v>
      </c>
    </row>
    <row r="97" spans="1:24" ht="17.25" customHeight="1">
      <c r="A97" s="2">
        <v>95</v>
      </c>
      <c r="B97" s="5">
        <v>202</v>
      </c>
      <c r="C97" s="6" t="s">
        <v>309</v>
      </c>
      <c r="D97" s="6" t="s">
        <v>302</v>
      </c>
      <c r="E97" s="6" t="str">
        <f>VLOOKUP($D97,date!$B$2:$E$376,2,FALSE)</f>
        <v>10.1055/s-0029-1218691</v>
      </c>
      <c r="F97" s="6">
        <f>VLOOKUP($D97,date!$B$2:$E$376,3,FALSE)</f>
        <v>3</v>
      </c>
      <c r="G97" s="6">
        <f>VLOOKUP($D97,date!$B$2:$E$376,4,FALSE)</f>
        <v>2010</v>
      </c>
      <c r="H97" s="6" t="s">
        <v>303</v>
      </c>
      <c r="I97" s="6" t="s">
        <v>23</v>
      </c>
      <c r="J97" s="6" t="s">
        <v>304</v>
      </c>
      <c r="K97" s="6" t="s">
        <v>25</v>
      </c>
      <c r="L97" s="6" t="s">
        <v>305</v>
      </c>
      <c r="M97" s="6" t="s">
        <v>306</v>
      </c>
      <c r="N97" s="6" t="s">
        <v>181</v>
      </c>
      <c r="O97" s="6" t="s">
        <v>23</v>
      </c>
      <c r="P97" s="5">
        <v>5</v>
      </c>
      <c r="Q97" s="6" t="s">
        <v>100</v>
      </c>
      <c r="R97" s="5">
        <v>60</v>
      </c>
      <c r="S97" s="5">
        <v>5</v>
      </c>
      <c r="T97" s="5">
        <v>50</v>
      </c>
      <c r="U97" s="6" t="s">
        <v>23</v>
      </c>
      <c r="V97" s="6" t="s">
        <v>23</v>
      </c>
      <c r="W97" s="6" t="s">
        <v>31</v>
      </c>
      <c r="X97" s="6" t="s">
        <v>308</v>
      </c>
    </row>
    <row r="98" spans="1:24" ht="17.25" customHeight="1">
      <c r="A98" s="2">
        <v>96</v>
      </c>
      <c r="B98" s="5">
        <v>203</v>
      </c>
      <c r="C98" s="6" t="s">
        <v>310</v>
      </c>
      <c r="D98" s="6" t="s">
        <v>302</v>
      </c>
      <c r="E98" s="6" t="str">
        <f>VLOOKUP($D98,date!$B$2:$E$376,2,FALSE)</f>
        <v>10.1055/s-0029-1218691</v>
      </c>
      <c r="F98" s="6">
        <f>VLOOKUP($D98,date!$B$2:$E$376,3,FALSE)</f>
        <v>3</v>
      </c>
      <c r="G98" s="6">
        <f>VLOOKUP($D98,date!$B$2:$E$376,4,FALSE)</f>
        <v>2010</v>
      </c>
      <c r="H98" s="6" t="s">
        <v>303</v>
      </c>
      <c r="I98" s="6" t="s">
        <v>23</v>
      </c>
      <c r="J98" s="6" t="s">
        <v>304</v>
      </c>
      <c r="K98" s="6" t="s">
        <v>25</v>
      </c>
      <c r="L98" s="6" t="s">
        <v>305</v>
      </c>
      <c r="M98" s="6" t="s">
        <v>306</v>
      </c>
      <c r="N98" s="6" t="s">
        <v>181</v>
      </c>
      <c r="O98" s="6" t="s">
        <v>23</v>
      </c>
      <c r="P98" s="5">
        <v>5</v>
      </c>
      <c r="Q98" s="6" t="s">
        <v>100</v>
      </c>
      <c r="R98" s="5">
        <v>60</v>
      </c>
      <c r="S98" s="5">
        <v>5</v>
      </c>
      <c r="T98" s="5">
        <v>95</v>
      </c>
      <c r="U98" s="6" t="s">
        <v>23</v>
      </c>
      <c r="V98" s="6" t="s">
        <v>23</v>
      </c>
      <c r="W98" s="6" t="s">
        <v>31</v>
      </c>
      <c r="X98" s="6" t="s">
        <v>308</v>
      </c>
    </row>
    <row r="99" spans="1:24" ht="17.25" customHeight="1">
      <c r="A99" s="2">
        <v>97</v>
      </c>
      <c r="B99" s="5">
        <v>204</v>
      </c>
      <c r="C99" s="6" t="s">
        <v>311</v>
      </c>
      <c r="D99" s="6" t="s">
        <v>302</v>
      </c>
      <c r="E99" s="6" t="str">
        <f>VLOOKUP($D99,date!$B$2:$E$376,2,FALSE)</f>
        <v>10.1055/s-0029-1218691</v>
      </c>
      <c r="F99" s="6">
        <f>VLOOKUP($D99,date!$B$2:$E$376,3,FALSE)</f>
        <v>3</v>
      </c>
      <c r="G99" s="6">
        <f>VLOOKUP($D99,date!$B$2:$E$376,4,FALSE)</f>
        <v>2010</v>
      </c>
      <c r="H99" s="6" t="s">
        <v>312</v>
      </c>
      <c r="I99" s="6" t="s">
        <v>23</v>
      </c>
      <c r="J99" s="6" t="s">
        <v>304</v>
      </c>
      <c r="K99" s="6" t="s">
        <v>25</v>
      </c>
      <c r="L99" s="6" t="s">
        <v>305</v>
      </c>
      <c r="M99" s="6" t="s">
        <v>306</v>
      </c>
      <c r="N99" s="6" t="s">
        <v>181</v>
      </c>
      <c r="O99" s="6" t="s">
        <v>23</v>
      </c>
      <c r="P99" s="5">
        <v>5</v>
      </c>
      <c r="Q99" s="6" t="s">
        <v>100</v>
      </c>
      <c r="R99" s="5">
        <v>60</v>
      </c>
      <c r="S99" s="5">
        <v>5</v>
      </c>
      <c r="T99" s="5">
        <v>85</v>
      </c>
      <c r="U99" s="6" t="s">
        <v>23</v>
      </c>
      <c r="V99" s="6" t="s">
        <v>23</v>
      </c>
      <c r="W99" s="6" t="s">
        <v>31</v>
      </c>
      <c r="X99" s="6" t="s">
        <v>308</v>
      </c>
    </row>
    <row r="100" spans="1:24" ht="17.25" customHeight="1">
      <c r="A100" s="2">
        <v>98</v>
      </c>
      <c r="B100" s="5">
        <v>205</v>
      </c>
      <c r="C100" s="6" t="s">
        <v>313</v>
      </c>
      <c r="D100" s="6" t="s">
        <v>302</v>
      </c>
      <c r="E100" s="6" t="str">
        <f>VLOOKUP($D100,date!$B$2:$E$376,2,FALSE)</f>
        <v>10.1055/s-0029-1218691</v>
      </c>
      <c r="F100" s="6">
        <f>VLOOKUP($D100,date!$B$2:$E$376,3,FALSE)</f>
        <v>3</v>
      </c>
      <c r="G100" s="6">
        <f>VLOOKUP($D100,date!$B$2:$E$376,4,FALSE)</f>
        <v>2010</v>
      </c>
      <c r="H100" s="6" t="s">
        <v>303</v>
      </c>
      <c r="I100" s="6" t="s">
        <v>23</v>
      </c>
      <c r="J100" s="6" t="s">
        <v>24</v>
      </c>
      <c r="K100" s="6" t="s">
        <v>25</v>
      </c>
      <c r="L100" s="6" t="s">
        <v>305</v>
      </c>
      <c r="M100" s="6" t="s">
        <v>306</v>
      </c>
      <c r="N100" s="6" t="s">
        <v>181</v>
      </c>
      <c r="O100" s="6" t="s">
        <v>23</v>
      </c>
      <c r="P100" s="5">
        <v>5</v>
      </c>
      <c r="Q100" s="6" t="s">
        <v>100</v>
      </c>
      <c r="R100" s="5">
        <v>60</v>
      </c>
      <c r="S100" s="5">
        <v>5</v>
      </c>
      <c r="T100" s="5">
        <v>95</v>
      </c>
      <c r="U100" s="6" t="s">
        <v>23</v>
      </c>
      <c r="V100" s="6" t="s">
        <v>23</v>
      </c>
      <c r="W100" s="6" t="s">
        <v>31</v>
      </c>
      <c r="X100" s="6" t="s">
        <v>308</v>
      </c>
    </row>
    <row r="101" spans="1:24" ht="17.25" customHeight="1">
      <c r="A101" s="2">
        <v>99</v>
      </c>
      <c r="B101" s="5">
        <v>206</v>
      </c>
      <c r="C101" s="6" t="s">
        <v>314</v>
      </c>
      <c r="D101" s="6" t="s">
        <v>302</v>
      </c>
      <c r="E101" s="6" t="str">
        <f>VLOOKUP($D101,date!$B$2:$E$376,2,FALSE)</f>
        <v>10.1055/s-0029-1218691</v>
      </c>
      <c r="F101" s="6">
        <f>VLOOKUP($D101,date!$B$2:$E$376,3,FALSE)</f>
        <v>3</v>
      </c>
      <c r="G101" s="6">
        <f>VLOOKUP($D101,date!$B$2:$E$376,4,FALSE)</f>
        <v>2010</v>
      </c>
      <c r="H101" s="6" t="s">
        <v>303</v>
      </c>
      <c r="I101" s="6" t="s">
        <v>23</v>
      </c>
      <c r="J101" s="6" t="s">
        <v>315</v>
      </c>
      <c r="K101" s="6" t="s">
        <v>25</v>
      </c>
      <c r="L101" s="6" t="s">
        <v>305</v>
      </c>
      <c r="M101" s="6" t="s">
        <v>306</v>
      </c>
      <c r="N101" s="6" t="s">
        <v>181</v>
      </c>
      <c r="O101" s="6" t="s">
        <v>23</v>
      </c>
      <c r="P101" s="5">
        <v>5</v>
      </c>
      <c r="Q101" s="6" t="s">
        <v>100</v>
      </c>
      <c r="R101" s="5">
        <v>60</v>
      </c>
      <c r="S101" s="5">
        <v>5</v>
      </c>
      <c r="T101" s="5">
        <v>66</v>
      </c>
      <c r="U101" s="6" t="s">
        <v>23</v>
      </c>
      <c r="V101" s="6" t="s">
        <v>23</v>
      </c>
      <c r="W101" s="6" t="s">
        <v>31</v>
      </c>
      <c r="X101" s="6" t="s">
        <v>308</v>
      </c>
    </row>
    <row r="102" spans="1:24" ht="17.25" customHeight="1">
      <c r="A102" s="2">
        <v>100</v>
      </c>
      <c r="B102" s="5">
        <v>207</v>
      </c>
      <c r="C102" s="6" t="s">
        <v>316</v>
      </c>
      <c r="D102" s="6" t="s">
        <v>302</v>
      </c>
      <c r="E102" s="6" t="str">
        <f>VLOOKUP($D102,date!$B$2:$E$376,2,FALSE)</f>
        <v>10.1055/s-0029-1218691</v>
      </c>
      <c r="F102" s="6">
        <f>VLOOKUP($D102,date!$B$2:$E$376,3,FALSE)</f>
        <v>3</v>
      </c>
      <c r="G102" s="6">
        <f>VLOOKUP($D102,date!$B$2:$E$376,4,FALSE)</f>
        <v>2010</v>
      </c>
      <c r="H102" s="6" t="s">
        <v>303</v>
      </c>
      <c r="I102" s="6" t="s">
        <v>23</v>
      </c>
      <c r="J102" s="6" t="s">
        <v>304</v>
      </c>
      <c r="K102" s="6" t="s">
        <v>25</v>
      </c>
      <c r="L102" s="6" t="s">
        <v>305</v>
      </c>
      <c r="M102" s="6" t="s">
        <v>306</v>
      </c>
      <c r="N102" s="6" t="s">
        <v>181</v>
      </c>
      <c r="O102" s="6" t="s">
        <v>23</v>
      </c>
      <c r="P102" s="5">
        <v>5</v>
      </c>
      <c r="Q102" s="6" t="s">
        <v>317</v>
      </c>
      <c r="R102" s="5">
        <v>60</v>
      </c>
      <c r="S102" s="5">
        <v>5</v>
      </c>
      <c r="T102" s="5">
        <v>17</v>
      </c>
      <c r="U102" s="6" t="s">
        <v>23</v>
      </c>
      <c r="V102" s="6" t="s">
        <v>23</v>
      </c>
      <c r="W102" s="6" t="s">
        <v>31</v>
      </c>
      <c r="X102" s="6" t="s">
        <v>308</v>
      </c>
    </row>
    <row r="103" spans="1:24" ht="17.25" customHeight="1">
      <c r="A103" s="2">
        <v>101</v>
      </c>
      <c r="B103" s="5">
        <v>208</v>
      </c>
      <c r="C103" s="6" t="s">
        <v>318</v>
      </c>
      <c r="D103" s="6" t="s">
        <v>302</v>
      </c>
      <c r="E103" s="6" t="str">
        <f>VLOOKUP($D103,date!$B$2:$E$376,2,FALSE)</f>
        <v>10.1055/s-0029-1218691</v>
      </c>
      <c r="F103" s="6">
        <f>VLOOKUP($D103,date!$B$2:$E$376,3,FALSE)</f>
        <v>3</v>
      </c>
      <c r="G103" s="6">
        <f>VLOOKUP($D103,date!$B$2:$E$376,4,FALSE)</f>
        <v>2010</v>
      </c>
      <c r="H103" s="6" t="s">
        <v>303</v>
      </c>
      <c r="I103" s="6" t="s">
        <v>23</v>
      </c>
      <c r="J103" s="6" t="s">
        <v>304</v>
      </c>
      <c r="K103" s="6" t="s">
        <v>25</v>
      </c>
      <c r="L103" s="6" t="s">
        <v>305</v>
      </c>
      <c r="M103" s="6" t="s">
        <v>306</v>
      </c>
      <c r="N103" s="6" t="s">
        <v>181</v>
      </c>
      <c r="O103" s="6" t="s">
        <v>23</v>
      </c>
      <c r="P103" s="5">
        <v>5</v>
      </c>
      <c r="Q103" s="6" t="s">
        <v>319</v>
      </c>
      <c r="R103" s="5">
        <v>60</v>
      </c>
      <c r="S103" s="5">
        <v>5</v>
      </c>
      <c r="T103" s="5">
        <v>11</v>
      </c>
      <c r="U103" s="6" t="s">
        <v>23</v>
      </c>
      <c r="V103" s="6" t="s">
        <v>23</v>
      </c>
      <c r="W103" s="6" t="s">
        <v>31</v>
      </c>
      <c r="X103" s="6" t="s">
        <v>308</v>
      </c>
    </row>
    <row r="104" spans="1:24" ht="17.25" customHeight="1">
      <c r="A104" s="2">
        <v>102</v>
      </c>
      <c r="B104" s="5">
        <v>209</v>
      </c>
      <c r="C104" s="6" t="s">
        <v>320</v>
      </c>
      <c r="D104" s="6" t="s">
        <v>302</v>
      </c>
      <c r="E104" s="6" t="str">
        <f>VLOOKUP($D104,date!$B$2:$E$376,2,FALSE)</f>
        <v>10.1055/s-0029-1218691</v>
      </c>
      <c r="F104" s="6">
        <f>VLOOKUP($D104,date!$B$2:$E$376,3,FALSE)</f>
        <v>3</v>
      </c>
      <c r="G104" s="6">
        <f>VLOOKUP($D104,date!$B$2:$E$376,4,FALSE)</f>
        <v>2010</v>
      </c>
      <c r="H104" s="6" t="s">
        <v>303</v>
      </c>
      <c r="I104" s="6" t="s">
        <v>23</v>
      </c>
      <c r="J104" s="6" t="s">
        <v>304</v>
      </c>
      <c r="K104" s="6" t="s">
        <v>25</v>
      </c>
      <c r="L104" s="6" t="s">
        <v>305</v>
      </c>
      <c r="M104" s="6" t="s">
        <v>306</v>
      </c>
      <c r="N104" s="6" t="s">
        <v>181</v>
      </c>
      <c r="O104" s="6" t="s">
        <v>23</v>
      </c>
      <c r="P104" s="5">
        <v>5</v>
      </c>
      <c r="Q104" s="6" t="s">
        <v>97</v>
      </c>
      <c r="R104" s="5">
        <v>60</v>
      </c>
      <c r="S104" s="5">
        <v>5</v>
      </c>
      <c r="T104" s="5">
        <v>0</v>
      </c>
      <c r="U104" s="6" t="s">
        <v>23</v>
      </c>
      <c r="V104" s="6" t="s">
        <v>23</v>
      </c>
      <c r="W104" s="6" t="s">
        <v>31</v>
      </c>
      <c r="X104" s="6" t="s">
        <v>308</v>
      </c>
    </row>
    <row r="105" spans="1:24" ht="17.25" customHeight="1">
      <c r="A105" s="2">
        <v>103</v>
      </c>
      <c r="B105" s="5">
        <v>210</v>
      </c>
      <c r="C105" s="6" t="s">
        <v>321</v>
      </c>
      <c r="D105" s="6" t="s">
        <v>302</v>
      </c>
      <c r="E105" s="6" t="str">
        <f>VLOOKUP($D105,date!$B$2:$E$376,2,FALSE)</f>
        <v>10.1055/s-0029-1218691</v>
      </c>
      <c r="F105" s="6">
        <f>VLOOKUP($D105,date!$B$2:$E$376,3,FALSE)</f>
        <v>3</v>
      </c>
      <c r="G105" s="6">
        <f>VLOOKUP($D105,date!$B$2:$E$376,4,FALSE)</f>
        <v>2010</v>
      </c>
      <c r="H105" s="6" t="s">
        <v>303</v>
      </c>
      <c r="I105" s="6" t="s">
        <v>23</v>
      </c>
      <c r="J105" s="6" t="s">
        <v>304</v>
      </c>
      <c r="K105" s="6" t="s">
        <v>25</v>
      </c>
      <c r="L105" s="6" t="s">
        <v>305</v>
      </c>
      <c r="M105" s="6" t="s">
        <v>306</v>
      </c>
      <c r="N105" s="6" t="s">
        <v>181</v>
      </c>
      <c r="O105" s="6" t="s">
        <v>23</v>
      </c>
      <c r="P105" s="5">
        <v>5</v>
      </c>
      <c r="Q105" s="6" t="s">
        <v>322</v>
      </c>
      <c r="R105" s="5">
        <v>60</v>
      </c>
      <c r="S105" s="5">
        <v>5</v>
      </c>
      <c r="T105" s="5">
        <v>93</v>
      </c>
      <c r="U105" s="6" t="s">
        <v>23</v>
      </c>
      <c r="V105" s="6" t="s">
        <v>23</v>
      </c>
      <c r="W105" s="6" t="s">
        <v>31</v>
      </c>
      <c r="X105" s="6" t="s">
        <v>308</v>
      </c>
    </row>
    <row r="106" spans="1:24" ht="17.25" customHeight="1">
      <c r="A106" s="2">
        <v>104</v>
      </c>
      <c r="B106" s="5">
        <v>211</v>
      </c>
      <c r="C106" s="6" t="s">
        <v>323</v>
      </c>
      <c r="D106" s="6" t="s">
        <v>302</v>
      </c>
      <c r="E106" s="6" t="str">
        <f>VLOOKUP($D106,date!$B$2:$E$376,2,FALSE)</f>
        <v>10.1055/s-0029-1218691</v>
      </c>
      <c r="F106" s="6">
        <f>VLOOKUP($D106,date!$B$2:$E$376,3,FALSE)</f>
        <v>3</v>
      </c>
      <c r="G106" s="6">
        <f>VLOOKUP($D106,date!$B$2:$E$376,4,FALSE)</f>
        <v>2010</v>
      </c>
      <c r="H106" s="6" t="s">
        <v>303</v>
      </c>
      <c r="I106" s="6" t="s">
        <v>23</v>
      </c>
      <c r="J106" s="6" t="s">
        <v>304</v>
      </c>
      <c r="K106" s="6" t="s">
        <v>25</v>
      </c>
      <c r="L106" s="6" t="s">
        <v>305</v>
      </c>
      <c r="M106" s="6" t="s">
        <v>306</v>
      </c>
      <c r="N106" s="6" t="s">
        <v>324</v>
      </c>
      <c r="O106" s="6" t="s">
        <v>23</v>
      </c>
      <c r="P106" s="5">
        <v>5</v>
      </c>
      <c r="Q106" s="6" t="s">
        <v>100</v>
      </c>
      <c r="R106" s="5">
        <v>60</v>
      </c>
      <c r="S106" s="5">
        <v>5</v>
      </c>
      <c r="T106" s="5">
        <v>65</v>
      </c>
      <c r="U106" s="6" t="s">
        <v>23</v>
      </c>
      <c r="V106" s="6" t="s">
        <v>23</v>
      </c>
      <c r="W106" s="6" t="s">
        <v>31</v>
      </c>
      <c r="X106" s="6" t="s">
        <v>308</v>
      </c>
    </row>
    <row r="107" spans="1:24" ht="17.25" customHeight="1">
      <c r="A107" s="2">
        <v>105</v>
      </c>
      <c r="B107" s="5">
        <v>212</v>
      </c>
      <c r="C107" s="6" t="s">
        <v>325</v>
      </c>
      <c r="D107" s="6" t="s">
        <v>302</v>
      </c>
      <c r="E107" s="6" t="str">
        <f>VLOOKUP($D107,date!$B$2:$E$376,2,FALSE)</f>
        <v>10.1055/s-0029-1218691</v>
      </c>
      <c r="F107" s="6">
        <f>VLOOKUP($D107,date!$B$2:$E$376,3,FALSE)</f>
        <v>3</v>
      </c>
      <c r="G107" s="6">
        <f>VLOOKUP($D107,date!$B$2:$E$376,4,FALSE)</f>
        <v>2010</v>
      </c>
      <c r="H107" s="6" t="s">
        <v>303</v>
      </c>
      <c r="I107" s="6" t="s">
        <v>23</v>
      </c>
      <c r="J107" s="6" t="s">
        <v>304</v>
      </c>
      <c r="K107" s="6" t="s">
        <v>25</v>
      </c>
      <c r="L107" s="6" t="s">
        <v>305</v>
      </c>
      <c r="M107" s="6" t="s">
        <v>306</v>
      </c>
      <c r="N107" s="6" t="s">
        <v>326</v>
      </c>
      <c r="O107" s="6" t="s">
        <v>23</v>
      </c>
      <c r="P107" s="5">
        <v>5</v>
      </c>
      <c r="Q107" s="6" t="s">
        <v>100</v>
      </c>
      <c r="R107" s="5">
        <v>60</v>
      </c>
      <c r="S107" s="5">
        <v>5</v>
      </c>
      <c r="T107" s="5">
        <v>38</v>
      </c>
      <c r="U107" s="6" t="s">
        <v>23</v>
      </c>
      <c r="V107" s="6" t="s">
        <v>23</v>
      </c>
      <c r="W107" s="6" t="s">
        <v>31</v>
      </c>
      <c r="X107" s="6" t="s">
        <v>308</v>
      </c>
    </row>
    <row r="108" spans="1:24" ht="17.25" customHeight="1">
      <c r="A108" s="2">
        <v>106</v>
      </c>
      <c r="B108" s="5">
        <v>213</v>
      </c>
      <c r="C108" s="6" t="s">
        <v>327</v>
      </c>
      <c r="D108" s="6" t="s">
        <v>302</v>
      </c>
      <c r="E108" s="6" t="str">
        <f>VLOOKUP($D108,date!$B$2:$E$376,2,FALSE)</f>
        <v>10.1055/s-0029-1218691</v>
      </c>
      <c r="F108" s="6">
        <f>VLOOKUP($D108,date!$B$2:$E$376,3,FALSE)</f>
        <v>3</v>
      </c>
      <c r="G108" s="6">
        <f>VLOOKUP($D108,date!$B$2:$E$376,4,FALSE)</f>
        <v>2010</v>
      </c>
      <c r="H108" s="6" t="s">
        <v>303</v>
      </c>
      <c r="I108" s="6" t="s">
        <v>23</v>
      </c>
      <c r="J108" s="6" t="s">
        <v>304</v>
      </c>
      <c r="K108" s="6" t="s">
        <v>25</v>
      </c>
      <c r="L108" s="6" t="s">
        <v>305</v>
      </c>
      <c r="M108" s="6" t="s">
        <v>306</v>
      </c>
      <c r="N108" s="6" t="s">
        <v>113</v>
      </c>
      <c r="O108" s="6" t="s">
        <v>23</v>
      </c>
      <c r="P108" s="5">
        <v>5</v>
      </c>
      <c r="Q108" s="6" t="s">
        <v>100</v>
      </c>
      <c r="R108" s="5">
        <v>60</v>
      </c>
      <c r="S108" s="5">
        <v>5</v>
      </c>
      <c r="T108" s="5">
        <v>85</v>
      </c>
      <c r="U108" s="6" t="s">
        <v>23</v>
      </c>
      <c r="V108" s="6" t="s">
        <v>23</v>
      </c>
      <c r="W108" s="6" t="s">
        <v>31</v>
      </c>
      <c r="X108" s="6" t="s">
        <v>308</v>
      </c>
    </row>
    <row r="109" spans="1:24" ht="17.25" customHeight="1">
      <c r="A109" s="2">
        <v>107</v>
      </c>
      <c r="B109" s="5">
        <v>214</v>
      </c>
      <c r="C109" s="6" t="s">
        <v>328</v>
      </c>
      <c r="D109" s="6" t="s">
        <v>302</v>
      </c>
      <c r="E109" s="6" t="str">
        <f>VLOOKUP($D109,date!$B$2:$E$376,2,FALSE)</f>
        <v>10.1055/s-0029-1218691</v>
      </c>
      <c r="F109" s="6">
        <f>VLOOKUP($D109,date!$B$2:$E$376,3,FALSE)</f>
        <v>3</v>
      </c>
      <c r="G109" s="6">
        <f>VLOOKUP($D109,date!$B$2:$E$376,4,FALSE)</f>
        <v>2010</v>
      </c>
      <c r="H109" s="6" t="s">
        <v>303</v>
      </c>
      <c r="I109" s="6" t="s">
        <v>23</v>
      </c>
      <c r="J109" s="6" t="s">
        <v>304</v>
      </c>
      <c r="K109" s="6" t="s">
        <v>25</v>
      </c>
      <c r="L109" s="6" t="s">
        <v>305</v>
      </c>
      <c r="M109" s="6" t="s">
        <v>306</v>
      </c>
      <c r="N109" s="6" t="s">
        <v>329</v>
      </c>
      <c r="O109" s="6" t="s">
        <v>23</v>
      </c>
      <c r="P109" s="5">
        <v>5</v>
      </c>
      <c r="Q109" s="6" t="s">
        <v>100</v>
      </c>
      <c r="R109" s="5">
        <v>60</v>
      </c>
      <c r="S109" s="5">
        <v>5</v>
      </c>
      <c r="T109" s="5">
        <v>8</v>
      </c>
      <c r="U109" s="6" t="s">
        <v>23</v>
      </c>
      <c r="V109" s="6" t="s">
        <v>23</v>
      </c>
      <c r="W109" s="6" t="s">
        <v>31</v>
      </c>
      <c r="X109" s="6" t="s">
        <v>308</v>
      </c>
    </row>
    <row r="110" spans="1:24" ht="17.25" customHeight="1">
      <c r="A110" s="2">
        <v>108</v>
      </c>
      <c r="B110" s="5">
        <v>215</v>
      </c>
      <c r="C110" s="6" t="s">
        <v>330</v>
      </c>
      <c r="D110" s="6" t="s">
        <v>302</v>
      </c>
      <c r="E110" s="6" t="str">
        <f>VLOOKUP($D110,date!$B$2:$E$376,2,FALSE)</f>
        <v>10.1055/s-0029-1218691</v>
      </c>
      <c r="F110" s="6">
        <f>VLOOKUP($D110,date!$B$2:$E$376,3,FALSE)</f>
        <v>3</v>
      </c>
      <c r="G110" s="6">
        <f>VLOOKUP($D110,date!$B$2:$E$376,4,FALSE)</f>
        <v>2010</v>
      </c>
      <c r="H110" s="6" t="s">
        <v>303</v>
      </c>
      <c r="I110" s="6" t="s">
        <v>23</v>
      </c>
      <c r="J110" s="6" t="s">
        <v>304</v>
      </c>
      <c r="K110" s="6" t="s">
        <v>127</v>
      </c>
      <c r="L110" s="6" t="s">
        <v>305</v>
      </c>
      <c r="M110" s="6" t="s">
        <v>331</v>
      </c>
      <c r="N110" s="6" t="s">
        <v>181</v>
      </c>
      <c r="O110" s="6" t="s">
        <v>23</v>
      </c>
      <c r="P110" s="5">
        <v>5</v>
      </c>
      <c r="Q110" s="6" t="s">
        <v>100</v>
      </c>
      <c r="R110" s="5">
        <v>60</v>
      </c>
      <c r="S110" s="5">
        <v>5</v>
      </c>
      <c r="T110" s="5">
        <v>83</v>
      </c>
      <c r="U110" s="6" t="s">
        <v>23</v>
      </c>
      <c r="V110" s="6" t="s">
        <v>23</v>
      </c>
      <c r="W110" s="6" t="s">
        <v>31</v>
      </c>
      <c r="X110" s="6" t="s">
        <v>332</v>
      </c>
    </row>
    <row r="111" spans="1:24" ht="17.25" customHeight="1">
      <c r="A111" s="2">
        <v>109</v>
      </c>
      <c r="B111" s="5">
        <v>216</v>
      </c>
      <c r="C111" s="6" t="s">
        <v>333</v>
      </c>
      <c r="D111" s="6" t="s">
        <v>302</v>
      </c>
      <c r="E111" s="6" t="str">
        <f>VLOOKUP($D111,date!$B$2:$E$376,2,FALSE)</f>
        <v>10.1055/s-0029-1218691</v>
      </c>
      <c r="F111" s="6">
        <f>VLOOKUP($D111,date!$B$2:$E$376,3,FALSE)</f>
        <v>3</v>
      </c>
      <c r="G111" s="6">
        <f>VLOOKUP($D111,date!$B$2:$E$376,4,FALSE)</f>
        <v>2010</v>
      </c>
      <c r="H111" s="6" t="s">
        <v>303</v>
      </c>
      <c r="I111" s="6" t="s">
        <v>23</v>
      </c>
      <c r="J111" s="6" t="s">
        <v>304</v>
      </c>
      <c r="K111" s="6" t="s">
        <v>334</v>
      </c>
      <c r="L111" s="6" t="s">
        <v>305</v>
      </c>
      <c r="M111" s="6" t="s">
        <v>335</v>
      </c>
      <c r="N111" s="6" t="s">
        <v>181</v>
      </c>
      <c r="O111" s="6" t="s">
        <v>23</v>
      </c>
      <c r="P111" s="5">
        <v>5</v>
      </c>
      <c r="Q111" s="6" t="s">
        <v>100</v>
      </c>
      <c r="R111" s="5">
        <v>60</v>
      </c>
      <c r="S111" s="5">
        <v>5</v>
      </c>
      <c r="T111" s="5">
        <v>78</v>
      </c>
      <c r="U111" s="6" t="s">
        <v>23</v>
      </c>
      <c r="V111" s="6" t="s">
        <v>23</v>
      </c>
      <c r="W111" s="6" t="s">
        <v>31</v>
      </c>
      <c r="X111" s="6" t="s">
        <v>336</v>
      </c>
    </row>
    <row r="112" spans="1:24" ht="17.25" customHeight="1">
      <c r="A112" s="2">
        <v>110</v>
      </c>
      <c r="B112" s="5">
        <v>217</v>
      </c>
      <c r="C112" s="6" t="s">
        <v>337</v>
      </c>
      <c r="D112" s="6" t="s">
        <v>302</v>
      </c>
      <c r="E112" s="6" t="str">
        <f>VLOOKUP($D112,date!$B$2:$E$376,2,FALSE)</f>
        <v>10.1055/s-0029-1218691</v>
      </c>
      <c r="F112" s="6">
        <f>VLOOKUP($D112,date!$B$2:$E$376,3,FALSE)</f>
        <v>3</v>
      </c>
      <c r="G112" s="6">
        <f>VLOOKUP($D112,date!$B$2:$E$376,4,FALSE)</f>
        <v>2010</v>
      </c>
      <c r="H112" s="6" t="s">
        <v>303</v>
      </c>
      <c r="I112" s="6" t="s">
        <v>23</v>
      </c>
      <c r="J112" s="6" t="s">
        <v>304</v>
      </c>
      <c r="K112" s="6" t="s">
        <v>142</v>
      </c>
      <c r="L112" s="6" t="s">
        <v>305</v>
      </c>
      <c r="M112" s="6" t="s">
        <v>338</v>
      </c>
      <c r="N112" s="6" t="s">
        <v>181</v>
      </c>
      <c r="O112" s="6" t="s">
        <v>23</v>
      </c>
      <c r="P112" s="5">
        <v>5</v>
      </c>
      <c r="Q112" s="6" t="s">
        <v>100</v>
      </c>
      <c r="R112" s="5">
        <v>60</v>
      </c>
      <c r="S112" s="5">
        <v>5</v>
      </c>
      <c r="T112" s="5">
        <v>91</v>
      </c>
      <c r="U112" s="6" t="s">
        <v>23</v>
      </c>
      <c r="V112" s="6" t="s">
        <v>23</v>
      </c>
      <c r="W112" s="6" t="s">
        <v>31</v>
      </c>
      <c r="X112" s="6" t="s">
        <v>339</v>
      </c>
    </row>
    <row r="113" spans="1:24" ht="17.25" customHeight="1">
      <c r="A113" s="2">
        <v>111</v>
      </c>
      <c r="B113" s="5">
        <v>218</v>
      </c>
      <c r="C113" s="6" t="s">
        <v>340</v>
      </c>
      <c r="D113" s="6" t="s">
        <v>302</v>
      </c>
      <c r="E113" s="6" t="str">
        <f>VLOOKUP($D113,date!$B$2:$E$376,2,FALSE)</f>
        <v>10.1055/s-0029-1218691</v>
      </c>
      <c r="F113" s="6">
        <f>VLOOKUP($D113,date!$B$2:$E$376,3,FALSE)</f>
        <v>3</v>
      </c>
      <c r="G113" s="6">
        <f>VLOOKUP($D113,date!$B$2:$E$376,4,FALSE)</f>
        <v>2010</v>
      </c>
      <c r="H113" s="6" t="s">
        <v>303</v>
      </c>
      <c r="I113" s="6" t="s">
        <v>23</v>
      </c>
      <c r="J113" s="6" t="s">
        <v>304</v>
      </c>
      <c r="K113" s="6" t="s">
        <v>341</v>
      </c>
      <c r="L113" s="6" t="s">
        <v>305</v>
      </c>
      <c r="M113" s="6" t="s">
        <v>342</v>
      </c>
      <c r="N113" s="6" t="s">
        <v>181</v>
      </c>
      <c r="O113" s="6" t="s">
        <v>23</v>
      </c>
      <c r="P113" s="5">
        <v>5</v>
      </c>
      <c r="Q113" s="6" t="s">
        <v>100</v>
      </c>
      <c r="R113" s="5">
        <v>60</v>
      </c>
      <c r="S113" s="5">
        <v>5</v>
      </c>
      <c r="T113" s="5">
        <v>89</v>
      </c>
      <c r="U113" s="6" t="s">
        <v>23</v>
      </c>
      <c r="V113" s="6" t="s">
        <v>23</v>
      </c>
      <c r="W113" s="6" t="s">
        <v>31</v>
      </c>
      <c r="X113" s="6" t="s">
        <v>343</v>
      </c>
    </row>
    <row r="114" spans="1:24" ht="17.25" customHeight="1">
      <c r="A114" s="2">
        <v>112</v>
      </c>
      <c r="B114" s="5">
        <v>219</v>
      </c>
      <c r="C114" s="6" t="s">
        <v>344</v>
      </c>
      <c r="D114" s="6" t="s">
        <v>302</v>
      </c>
      <c r="E114" s="6" t="str">
        <f>VLOOKUP($D114,date!$B$2:$E$376,2,FALSE)</f>
        <v>10.1055/s-0029-1218691</v>
      </c>
      <c r="F114" s="6">
        <f>VLOOKUP($D114,date!$B$2:$E$376,3,FALSE)</f>
        <v>3</v>
      </c>
      <c r="G114" s="6">
        <f>VLOOKUP($D114,date!$B$2:$E$376,4,FALSE)</f>
        <v>2010</v>
      </c>
      <c r="H114" s="6" t="s">
        <v>303</v>
      </c>
      <c r="I114" s="6" t="s">
        <v>23</v>
      </c>
      <c r="J114" s="6" t="s">
        <v>304</v>
      </c>
      <c r="K114" s="6" t="s">
        <v>40</v>
      </c>
      <c r="L114" s="6" t="s">
        <v>305</v>
      </c>
      <c r="M114" s="6" t="s">
        <v>306</v>
      </c>
      <c r="N114" s="6" t="s">
        <v>181</v>
      </c>
      <c r="O114" s="6" t="s">
        <v>23</v>
      </c>
      <c r="P114" s="5">
        <v>5</v>
      </c>
      <c r="Q114" s="6" t="s">
        <v>100</v>
      </c>
      <c r="R114" s="5">
        <v>60</v>
      </c>
      <c r="S114" s="5">
        <v>5</v>
      </c>
      <c r="T114" s="5">
        <v>86</v>
      </c>
      <c r="U114" s="6" t="s">
        <v>23</v>
      </c>
      <c r="V114" s="6" t="s">
        <v>23</v>
      </c>
      <c r="W114" s="6" t="s">
        <v>31</v>
      </c>
      <c r="X114" s="6" t="s">
        <v>345</v>
      </c>
    </row>
    <row r="115" spans="1:24" ht="17.25" customHeight="1">
      <c r="A115" s="2">
        <v>113</v>
      </c>
      <c r="B115" s="5">
        <v>220</v>
      </c>
      <c r="C115" s="6" t="s">
        <v>346</v>
      </c>
      <c r="D115" s="6" t="s">
        <v>302</v>
      </c>
      <c r="E115" s="6" t="str">
        <f>VLOOKUP($D115,date!$B$2:$E$376,2,FALSE)</f>
        <v>10.1055/s-0029-1218691</v>
      </c>
      <c r="F115" s="6">
        <f>VLOOKUP($D115,date!$B$2:$E$376,3,FALSE)</f>
        <v>3</v>
      </c>
      <c r="G115" s="6">
        <f>VLOOKUP($D115,date!$B$2:$E$376,4,FALSE)</f>
        <v>2010</v>
      </c>
      <c r="H115" s="6" t="s">
        <v>303</v>
      </c>
      <c r="I115" s="6" t="s">
        <v>23</v>
      </c>
      <c r="J115" s="6" t="s">
        <v>304</v>
      </c>
      <c r="K115" s="6" t="s">
        <v>150</v>
      </c>
      <c r="L115" s="6" t="s">
        <v>305</v>
      </c>
      <c r="M115" s="6" t="s">
        <v>347</v>
      </c>
      <c r="N115" s="6" t="s">
        <v>181</v>
      </c>
      <c r="O115" s="6" t="s">
        <v>23</v>
      </c>
      <c r="P115" s="5">
        <v>5</v>
      </c>
      <c r="Q115" s="6" t="s">
        <v>100</v>
      </c>
      <c r="R115" s="5">
        <v>60</v>
      </c>
      <c r="S115" s="5">
        <v>5</v>
      </c>
      <c r="T115" s="5">
        <v>82</v>
      </c>
      <c r="U115" s="6" t="s">
        <v>23</v>
      </c>
      <c r="V115" s="6" t="s">
        <v>23</v>
      </c>
      <c r="W115" s="6" t="s">
        <v>31</v>
      </c>
      <c r="X115" s="6" t="s">
        <v>348</v>
      </c>
    </row>
    <row r="116" spans="1:24" ht="17.25" customHeight="1">
      <c r="A116" s="2">
        <v>114</v>
      </c>
      <c r="B116" s="5">
        <v>221</v>
      </c>
      <c r="C116" s="6" t="s">
        <v>349</v>
      </c>
      <c r="D116" s="6" t="s">
        <v>302</v>
      </c>
      <c r="E116" s="6" t="str">
        <f>VLOOKUP($D116,date!$B$2:$E$376,2,FALSE)</f>
        <v>10.1055/s-0029-1218691</v>
      </c>
      <c r="F116" s="6">
        <f>VLOOKUP($D116,date!$B$2:$E$376,3,FALSE)</f>
        <v>3</v>
      </c>
      <c r="G116" s="6">
        <f>VLOOKUP($D116,date!$B$2:$E$376,4,FALSE)</f>
        <v>2010</v>
      </c>
      <c r="H116" s="6" t="s">
        <v>303</v>
      </c>
      <c r="I116" s="6" t="s">
        <v>23</v>
      </c>
      <c r="J116" s="6" t="s">
        <v>304</v>
      </c>
      <c r="K116" s="6" t="s">
        <v>350</v>
      </c>
      <c r="L116" s="6" t="s">
        <v>305</v>
      </c>
      <c r="M116" s="6" t="s">
        <v>351</v>
      </c>
      <c r="N116" s="6" t="s">
        <v>181</v>
      </c>
      <c r="O116" s="6" t="s">
        <v>23</v>
      </c>
      <c r="P116" s="5">
        <v>5</v>
      </c>
      <c r="Q116" s="6" t="s">
        <v>100</v>
      </c>
      <c r="R116" s="5">
        <v>60</v>
      </c>
      <c r="S116" s="5">
        <v>5</v>
      </c>
      <c r="T116" s="5">
        <v>80</v>
      </c>
      <c r="U116" s="6" t="s">
        <v>23</v>
      </c>
      <c r="V116" s="6" t="s">
        <v>23</v>
      </c>
      <c r="W116" s="6" t="s">
        <v>31</v>
      </c>
      <c r="X116" s="6" t="s">
        <v>352</v>
      </c>
    </row>
    <row r="117" spans="1:24" ht="17.25" customHeight="1">
      <c r="A117" s="2">
        <v>115</v>
      </c>
      <c r="B117" s="5">
        <v>222</v>
      </c>
      <c r="C117" s="6" t="s">
        <v>353</v>
      </c>
      <c r="D117" s="6" t="s">
        <v>302</v>
      </c>
      <c r="E117" s="6" t="str">
        <f>VLOOKUP($D117,date!$B$2:$E$376,2,FALSE)</f>
        <v>10.1055/s-0029-1218691</v>
      </c>
      <c r="F117" s="6">
        <f>VLOOKUP($D117,date!$B$2:$E$376,3,FALSE)</f>
        <v>3</v>
      </c>
      <c r="G117" s="6">
        <f>VLOOKUP($D117,date!$B$2:$E$376,4,FALSE)</f>
        <v>2010</v>
      </c>
      <c r="H117" s="6" t="s">
        <v>303</v>
      </c>
      <c r="I117" s="6" t="s">
        <v>23</v>
      </c>
      <c r="J117" s="6" t="s">
        <v>304</v>
      </c>
      <c r="K117" s="6" t="s">
        <v>131</v>
      </c>
      <c r="L117" s="6" t="s">
        <v>305</v>
      </c>
      <c r="M117" s="6" t="s">
        <v>354</v>
      </c>
      <c r="N117" s="6" t="s">
        <v>181</v>
      </c>
      <c r="O117" s="6" t="s">
        <v>23</v>
      </c>
      <c r="P117" s="5">
        <v>5</v>
      </c>
      <c r="Q117" s="6" t="s">
        <v>100</v>
      </c>
      <c r="R117" s="5">
        <v>60</v>
      </c>
      <c r="S117" s="5">
        <v>5</v>
      </c>
      <c r="T117" s="5">
        <v>82</v>
      </c>
      <c r="U117" s="6" t="s">
        <v>23</v>
      </c>
      <c r="V117" s="6" t="s">
        <v>23</v>
      </c>
      <c r="W117" s="6" t="s">
        <v>31</v>
      </c>
      <c r="X117" s="6" t="s">
        <v>355</v>
      </c>
    </row>
    <row r="118" spans="1:24" ht="17.25" customHeight="1">
      <c r="A118" s="2">
        <v>116</v>
      </c>
      <c r="B118" s="5">
        <v>223</v>
      </c>
      <c r="C118" s="6" t="s">
        <v>356</v>
      </c>
      <c r="D118" s="6" t="s">
        <v>302</v>
      </c>
      <c r="E118" s="6" t="str">
        <f>VLOOKUP($D118,date!$B$2:$E$376,2,FALSE)</f>
        <v>10.1055/s-0029-1218691</v>
      </c>
      <c r="F118" s="6">
        <f>VLOOKUP($D118,date!$B$2:$E$376,3,FALSE)</f>
        <v>3</v>
      </c>
      <c r="G118" s="6">
        <f>VLOOKUP($D118,date!$B$2:$E$376,4,FALSE)</f>
        <v>2010</v>
      </c>
      <c r="H118" s="6" t="s">
        <v>303</v>
      </c>
      <c r="I118" s="6" t="s">
        <v>23</v>
      </c>
      <c r="J118" s="6" t="s">
        <v>304</v>
      </c>
      <c r="K118" s="6" t="s">
        <v>357</v>
      </c>
      <c r="L118" s="6" t="s">
        <v>305</v>
      </c>
      <c r="M118" s="6" t="s">
        <v>358</v>
      </c>
      <c r="N118" s="6" t="s">
        <v>181</v>
      </c>
      <c r="O118" s="6" t="s">
        <v>23</v>
      </c>
      <c r="P118" s="5">
        <v>5</v>
      </c>
      <c r="Q118" s="6" t="s">
        <v>100</v>
      </c>
      <c r="R118" s="5">
        <v>60</v>
      </c>
      <c r="S118" s="5">
        <v>5</v>
      </c>
      <c r="T118" s="5">
        <v>86</v>
      </c>
      <c r="U118" s="6" t="s">
        <v>23</v>
      </c>
      <c r="V118" s="6" t="s">
        <v>23</v>
      </c>
      <c r="W118" s="6" t="s">
        <v>31</v>
      </c>
      <c r="X118" s="6" t="s">
        <v>359</v>
      </c>
    </row>
    <row r="119" spans="1:24" ht="17.25" customHeight="1">
      <c r="A119" s="2">
        <v>117</v>
      </c>
      <c r="B119" s="5">
        <v>224</v>
      </c>
      <c r="C119" s="6" t="s">
        <v>360</v>
      </c>
      <c r="D119" s="6" t="s">
        <v>302</v>
      </c>
      <c r="E119" s="6" t="str">
        <f>VLOOKUP($D119,date!$B$2:$E$376,2,FALSE)</f>
        <v>10.1055/s-0029-1218691</v>
      </c>
      <c r="F119" s="6">
        <f>VLOOKUP($D119,date!$B$2:$E$376,3,FALSE)</f>
        <v>3</v>
      </c>
      <c r="G119" s="6">
        <f>VLOOKUP($D119,date!$B$2:$E$376,4,FALSE)</f>
        <v>2010</v>
      </c>
      <c r="H119" s="6" t="s">
        <v>303</v>
      </c>
      <c r="I119" s="6" t="s">
        <v>23</v>
      </c>
      <c r="J119" s="6" t="s">
        <v>304</v>
      </c>
      <c r="K119" s="6" t="s">
        <v>361</v>
      </c>
      <c r="L119" s="6" t="s">
        <v>305</v>
      </c>
      <c r="M119" s="6" t="s">
        <v>362</v>
      </c>
      <c r="N119" s="6" t="s">
        <v>181</v>
      </c>
      <c r="O119" s="6" t="s">
        <v>23</v>
      </c>
      <c r="P119" s="5">
        <v>5</v>
      </c>
      <c r="Q119" s="6" t="s">
        <v>100</v>
      </c>
      <c r="R119" s="5">
        <v>60</v>
      </c>
      <c r="S119" s="5">
        <v>5</v>
      </c>
      <c r="T119" s="5">
        <v>95</v>
      </c>
      <c r="U119" s="6" t="s">
        <v>23</v>
      </c>
      <c r="V119" s="6" t="s">
        <v>23</v>
      </c>
      <c r="W119" s="6" t="s">
        <v>31</v>
      </c>
      <c r="X119" s="6" t="s">
        <v>363</v>
      </c>
    </row>
    <row r="120" spans="1:24" ht="17.25" customHeight="1">
      <c r="A120" s="2">
        <v>118</v>
      </c>
      <c r="B120" s="5">
        <v>225</v>
      </c>
      <c r="C120" s="6" t="s">
        <v>364</v>
      </c>
      <c r="D120" s="6" t="s">
        <v>302</v>
      </c>
      <c r="E120" s="6" t="str">
        <f>VLOOKUP($D120,date!$B$2:$E$376,2,FALSE)</f>
        <v>10.1055/s-0029-1218691</v>
      </c>
      <c r="F120" s="6">
        <f>VLOOKUP($D120,date!$B$2:$E$376,3,FALSE)</f>
        <v>3</v>
      </c>
      <c r="G120" s="6">
        <f>VLOOKUP($D120,date!$B$2:$E$376,4,FALSE)</f>
        <v>2010</v>
      </c>
      <c r="H120" s="6" t="s">
        <v>303</v>
      </c>
      <c r="I120" s="6" t="s">
        <v>23</v>
      </c>
      <c r="J120" s="6" t="s">
        <v>304</v>
      </c>
      <c r="K120" s="6" t="s">
        <v>365</v>
      </c>
      <c r="L120" s="6" t="s">
        <v>305</v>
      </c>
      <c r="M120" s="6" t="s">
        <v>366</v>
      </c>
      <c r="N120" s="6" t="s">
        <v>181</v>
      </c>
      <c r="O120" s="6" t="s">
        <v>23</v>
      </c>
      <c r="P120" s="5">
        <v>5</v>
      </c>
      <c r="Q120" s="6" t="s">
        <v>100</v>
      </c>
      <c r="R120" s="5">
        <v>120</v>
      </c>
      <c r="S120" s="5">
        <v>12</v>
      </c>
      <c r="T120" s="5">
        <v>86</v>
      </c>
      <c r="U120" s="6" t="s">
        <v>23</v>
      </c>
      <c r="V120" s="6" t="s">
        <v>23</v>
      </c>
      <c r="W120" s="6" t="s">
        <v>31</v>
      </c>
      <c r="X120" s="6" t="s">
        <v>367</v>
      </c>
    </row>
    <row r="121" spans="1:24" ht="17.25" customHeight="1">
      <c r="A121" s="2">
        <v>119</v>
      </c>
      <c r="B121" s="5">
        <v>226</v>
      </c>
      <c r="C121" s="6" t="s">
        <v>368</v>
      </c>
      <c r="D121" s="6" t="s">
        <v>302</v>
      </c>
      <c r="E121" s="6" t="str">
        <f>VLOOKUP($D121,date!$B$2:$E$376,2,FALSE)</f>
        <v>10.1055/s-0029-1218691</v>
      </c>
      <c r="F121" s="6">
        <f>VLOOKUP($D121,date!$B$2:$E$376,3,FALSE)</f>
        <v>3</v>
      </c>
      <c r="G121" s="6">
        <f>VLOOKUP($D121,date!$B$2:$E$376,4,FALSE)</f>
        <v>2010</v>
      </c>
      <c r="H121" s="6" t="s">
        <v>303</v>
      </c>
      <c r="I121" s="6" t="s">
        <v>23</v>
      </c>
      <c r="J121" s="6" t="s">
        <v>304</v>
      </c>
      <c r="K121" s="6" t="s">
        <v>298</v>
      </c>
      <c r="L121" s="6" t="s">
        <v>305</v>
      </c>
      <c r="M121" s="6" t="s">
        <v>369</v>
      </c>
      <c r="N121" s="6" t="s">
        <v>181</v>
      </c>
      <c r="O121" s="6" t="s">
        <v>23</v>
      </c>
      <c r="P121" s="5">
        <v>5</v>
      </c>
      <c r="Q121" s="6" t="s">
        <v>100</v>
      </c>
      <c r="R121" s="5">
        <v>60</v>
      </c>
      <c r="S121" s="5">
        <v>5</v>
      </c>
      <c r="T121" s="5">
        <v>92</v>
      </c>
      <c r="U121" s="6" t="s">
        <v>23</v>
      </c>
      <c r="V121" s="6" t="s">
        <v>23</v>
      </c>
      <c r="W121" s="6" t="s">
        <v>31</v>
      </c>
      <c r="X121" s="6" t="s">
        <v>370</v>
      </c>
    </row>
    <row r="122" spans="1:24" ht="17.25" customHeight="1">
      <c r="A122" s="2">
        <v>120</v>
      </c>
      <c r="B122" s="5">
        <v>227</v>
      </c>
      <c r="C122" s="6" t="s">
        <v>371</v>
      </c>
      <c r="D122" s="6" t="s">
        <v>302</v>
      </c>
      <c r="E122" s="6" t="str">
        <f>VLOOKUP($D122,date!$B$2:$E$376,2,FALSE)</f>
        <v>10.1055/s-0029-1218691</v>
      </c>
      <c r="F122" s="6">
        <f>VLOOKUP($D122,date!$B$2:$E$376,3,FALSE)</f>
        <v>3</v>
      </c>
      <c r="G122" s="6">
        <f>VLOOKUP($D122,date!$B$2:$E$376,4,FALSE)</f>
        <v>2010</v>
      </c>
      <c r="H122" s="6" t="s">
        <v>303</v>
      </c>
      <c r="I122" s="6" t="s">
        <v>23</v>
      </c>
      <c r="J122" s="6" t="s">
        <v>304</v>
      </c>
      <c r="K122" s="6" t="s">
        <v>372</v>
      </c>
      <c r="L122" s="6" t="s">
        <v>305</v>
      </c>
      <c r="M122" s="6" t="s">
        <v>373</v>
      </c>
      <c r="N122" s="6" t="s">
        <v>181</v>
      </c>
      <c r="O122" s="6" t="s">
        <v>23</v>
      </c>
      <c r="P122" s="5">
        <v>5</v>
      </c>
      <c r="Q122" s="6" t="s">
        <v>100</v>
      </c>
      <c r="R122" s="5">
        <v>60</v>
      </c>
      <c r="S122" s="5">
        <v>5</v>
      </c>
      <c r="T122" s="5">
        <v>88</v>
      </c>
      <c r="U122" s="6" t="s">
        <v>23</v>
      </c>
      <c r="V122" s="6" t="s">
        <v>23</v>
      </c>
      <c r="W122" s="6" t="s">
        <v>31</v>
      </c>
      <c r="X122" s="6" t="s">
        <v>374</v>
      </c>
    </row>
    <row r="123" spans="1:24" ht="17.25" customHeight="1">
      <c r="A123" s="2">
        <v>121</v>
      </c>
      <c r="B123" s="5">
        <v>228</v>
      </c>
      <c r="C123" s="6" t="s">
        <v>375</v>
      </c>
      <c r="D123" s="6" t="s">
        <v>302</v>
      </c>
      <c r="E123" s="6" t="str">
        <f>VLOOKUP($D123,date!$B$2:$E$376,2,FALSE)</f>
        <v>10.1055/s-0029-1218691</v>
      </c>
      <c r="F123" s="6">
        <f>VLOOKUP($D123,date!$B$2:$E$376,3,FALSE)</f>
        <v>3</v>
      </c>
      <c r="G123" s="6">
        <f>VLOOKUP($D123,date!$B$2:$E$376,4,FALSE)</f>
        <v>2010</v>
      </c>
      <c r="H123" s="6" t="s">
        <v>303</v>
      </c>
      <c r="I123" s="6" t="s">
        <v>23</v>
      </c>
      <c r="J123" s="6" t="s">
        <v>304</v>
      </c>
      <c r="K123" s="6" t="s">
        <v>143</v>
      </c>
      <c r="L123" s="6" t="s">
        <v>305</v>
      </c>
      <c r="M123" s="6" t="s">
        <v>376</v>
      </c>
      <c r="N123" s="6" t="s">
        <v>181</v>
      </c>
      <c r="O123" s="6" t="s">
        <v>23</v>
      </c>
      <c r="P123" s="5">
        <v>5</v>
      </c>
      <c r="Q123" s="6" t="s">
        <v>100</v>
      </c>
      <c r="R123" s="5">
        <v>120</v>
      </c>
      <c r="S123" s="5">
        <v>12</v>
      </c>
      <c r="T123" s="5">
        <v>72</v>
      </c>
      <c r="U123" s="6" t="s">
        <v>23</v>
      </c>
      <c r="V123" s="6" t="s">
        <v>23</v>
      </c>
      <c r="W123" s="6" t="s">
        <v>31</v>
      </c>
      <c r="X123" s="6" t="s">
        <v>377</v>
      </c>
    </row>
    <row r="124" spans="1:24" ht="17.25" customHeight="1">
      <c r="A124" s="2">
        <v>122</v>
      </c>
      <c r="B124" s="5">
        <v>229</v>
      </c>
      <c r="C124" s="6" t="s">
        <v>378</v>
      </c>
      <c r="D124" s="6" t="s">
        <v>302</v>
      </c>
      <c r="E124" s="6" t="str">
        <f>VLOOKUP($D124,date!$B$2:$E$376,2,FALSE)</f>
        <v>10.1055/s-0029-1218691</v>
      </c>
      <c r="F124" s="6">
        <f>VLOOKUP($D124,date!$B$2:$E$376,3,FALSE)</f>
        <v>3</v>
      </c>
      <c r="G124" s="6">
        <f>VLOOKUP($D124,date!$B$2:$E$376,4,FALSE)</f>
        <v>2010</v>
      </c>
      <c r="H124" s="6" t="s">
        <v>303</v>
      </c>
      <c r="I124" s="6" t="s">
        <v>23</v>
      </c>
      <c r="J124" s="6" t="s">
        <v>304</v>
      </c>
      <c r="K124" s="6" t="s">
        <v>379</v>
      </c>
      <c r="L124" s="6" t="s">
        <v>305</v>
      </c>
      <c r="M124" s="6" t="s">
        <v>380</v>
      </c>
      <c r="N124" s="6" t="s">
        <v>181</v>
      </c>
      <c r="O124" s="6" t="s">
        <v>23</v>
      </c>
      <c r="P124" s="5">
        <v>5</v>
      </c>
      <c r="Q124" s="6" t="s">
        <v>100</v>
      </c>
      <c r="R124" s="5">
        <v>120</v>
      </c>
      <c r="S124" s="5">
        <v>12</v>
      </c>
      <c r="T124" s="5">
        <v>81</v>
      </c>
      <c r="U124" s="6" t="s">
        <v>23</v>
      </c>
      <c r="V124" s="6" t="s">
        <v>23</v>
      </c>
      <c r="W124" s="6" t="s">
        <v>31</v>
      </c>
      <c r="X124" s="6" t="s">
        <v>381</v>
      </c>
    </row>
    <row r="125" spans="1:24" ht="17.25" customHeight="1">
      <c r="A125" s="2">
        <v>123</v>
      </c>
      <c r="B125" s="5">
        <v>230</v>
      </c>
      <c r="C125" s="6" t="s">
        <v>382</v>
      </c>
      <c r="D125" s="6" t="s">
        <v>302</v>
      </c>
      <c r="E125" s="6" t="str">
        <f>VLOOKUP($D125,date!$B$2:$E$376,2,FALSE)</f>
        <v>10.1055/s-0029-1218691</v>
      </c>
      <c r="F125" s="6">
        <f>VLOOKUP($D125,date!$B$2:$E$376,3,FALSE)</f>
        <v>3</v>
      </c>
      <c r="G125" s="6">
        <f>VLOOKUP($D125,date!$B$2:$E$376,4,FALSE)</f>
        <v>2010</v>
      </c>
      <c r="H125" s="6" t="s">
        <v>303</v>
      </c>
      <c r="I125" s="6" t="s">
        <v>23</v>
      </c>
      <c r="J125" s="6" t="s">
        <v>304</v>
      </c>
      <c r="K125" s="6" t="s">
        <v>383</v>
      </c>
      <c r="L125" s="6" t="s">
        <v>305</v>
      </c>
      <c r="M125" s="6" t="s">
        <v>384</v>
      </c>
      <c r="N125" s="6" t="s">
        <v>181</v>
      </c>
      <c r="O125" s="6" t="s">
        <v>23</v>
      </c>
      <c r="P125" s="5">
        <v>5</v>
      </c>
      <c r="Q125" s="6" t="s">
        <v>100</v>
      </c>
      <c r="R125" s="5">
        <v>120</v>
      </c>
      <c r="S125" s="5">
        <v>12</v>
      </c>
      <c r="T125" s="5">
        <v>80</v>
      </c>
      <c r="U125" s="6" t="s">
        <v>23</v>
      </c>
      <c r="V125" s="6" t="s">
        <v>23</v>
      </c>
      <c r="W125" s="6" t="s">
        <v>31</v>
      </c>
      <c r="X125" s="6" t="s">
        <v>385</v>
      </c>
    </row>
    <row r="126" spans="1:24" ht="17.25" customHeight="1">
      <c r="A126" s="2">
        <v>124</v>
      </c>
      <c r="B126" s="5">
        <v>231</v>
      </c>
      <c r="C126" s="6" t="s">
        <v>386</v>
      </c>
      <c r="D126" s="6" t="s">
        <v>302</v>
      </c>
      <c r="E126" s="6" t="str">
        <f>VLOOKUP($D126,date!$B$2:$E$376,2,FALSE)</f>
        <v>10.1055/s-0029-1218691</v>
      </c>
      <c r="F126" s="6">
        <f>VLOOKUP($D126,date!$B$2:$E$376,3,FALSE)</f>
        <v>3</v>
      </c>
      <c r="G126" s="6">
        <f>VLOOKUP($D126,date!$B$2:$E$376,4,FALSE)</f>
        <v>2010</v>
      </c>
      <c r="H126" s="6" t="s">
        <v>303</v>
      </c>
      <c r="I126" s="6" t="s">
        <v>23</v>
      </c>
      <c r="J126" s="6" t="s">
        <v>304</v>
      </c>
      <c r="K126" s="6" t="s">
        <v>146</v>
      </c>
      <c r="L126" s="6" t="s">
        <v>305</v>
      </c>
      <c r="M126" s="6" t="s">
        <v>387</v>
      </c>
      <c r="N126" s="6" t="s">
        <v>181</v>
      </c>
      <c r="O126" s="6" t="s">
        <v>23</v>
      </c>
      <c r="P126" s="5">
        <v>5</v>
      </c>
      <c r="Q126" s="6" t="s">
        <v>100</v>
      </c>
      <c r="R126" s="5">
        <v>60</v>
      </c>
      <c r="S126" s="5">
        <v>5</v>
      </c>
      <c r="T126" s="5">
        <v>92</v>
      </c>
      <c r="U126" s="6" t="s">
        <v>23</v>
      </c>
      <c r="V126" s="6" t="s">
        <v>23</v>
      </c>
      <c r="W126" s="6" t="s">
        <v>31</v>
      </c>
      <c r="X126" s="6" t="s">
        <v>388</v>
      </c>
    </row>
    <row r="127" spans="1:24" ht="17.25" customHeight="1">
      <c r="A127" s="2">
        <v>125</v>
      </c>
      <c r="B127" s="5">
        <v>232</v>
      </c>
      <c r="C127" s="6" t="s">
        <v>389</v>
      </c>
      <c r="D127" s="6" t="s">
        <v>302</v>
      </c>
      <c r="E127" s="6" t="str">
        <f>VLOOKUP($D127,date!$B$2:$E$376,2,FALSE)</f>
        <v>10.1055/s-0029-1218691</v>
      </c>
      <c r="F127" s="6">
        <f>VLOOKUP($D127,date!$B$2:$E$376,3,FALSE)</f>
        <v>3</v>
      </c>
      <c r="G127" s="6">
        <f>VLOOKUP($D127,date!$B$2:$E$376,4,FALSE)</f>
        <v>2010</v>
      </c>
      <c r="H127" s="6" t="s">
        <v>303</v>
      </c>
      <c r="I127" s="6" t="s">
        <v>23</v>
      </c>
      <c r="J127" s="6" t="s">
        <v>304</v>
      </c>
      <c r="K127" s="6" t="s">
        <v>50</v>
      </c>
      <c r="L127" s="6" t="s">
        <v>305</v>
      </c>
      <c r="M127" s="6" t="s">
        <v>306</v>
      </c>
      <c r="N127" s="6" t="s">
        <v>181</v>
      </c>
      <c r="O127" s="6" t="s">
        <v>23</v>
      </c>
      <c r="P127" s="5">
        <v>5</v>
      </c>
      <c r="Q127" s="6" t="s">
        <v>100</v>
      </c>
      <c r="R127" s="5">
        <v>60</v>
      </c>
      <c r="S127" s="5">
        <v>5</v>
      </c>
      <c r="T127" s="5">
        <v>0</v>
      </c>
      <c r="U127" s="6" t="s">
        <v>23</v>
      </c>
      <c r="V127" s="6" t="s">
        <v>23</v>
      </c>
      <c r="W127" s="6" t="s">
        <v>31</v>
      </c>
      <c r="X127" s="6" t="s">
        <v>390</v>
      </c>
    </row>
    <row r="128" spans="1:24" ht="17.25" customHeight="1">
      <c r="A128" s="2">
        <v>126</v>
      </c>
      <c r="B128" s="5">
        <v>233</v>
      </c>
      <c r="C128" s="6" t="s">
        <v>391</v>
      </c>
      <c r="D128" s="6" t="s">
        <v>302</v>
      </c>
      <c r="E128" s="6" t="str">
        <f>VLOOKUP($D128,date!$B$2:$E$376,2,FALSE)</f>
        <v>10.1055/s-0029-1218691</v>
      </c>
      <c r="F128" s="6">
        <f>VLOOKUP($D128,date!$B$2:$E$376,3,FALSE)</f>
        <v>3</v>
      </c>
      <c r="G128" s="6">
        <f>VLOOKUP($D128,date!$B$2:$E$376,4,FALSE)</f>
        <v>2010</v>
      </c>
      <c r="H128" s="6" t="s">
        <v>303</v>
      </c>
      <c r="I128" s="6" t="s">
        <v>23</v>
      </c>
      <c r="J128" s="6" t="s">
        <v>304</v>
      </c>
      <c r="K128" s="6" t="s">
        <v>392</v>
      </c>
      <c r="L128" s="6" t="s">
        <v>305</v>
      </c>
      <c r="M128" s="6" t="s">
        <v>393</v>
      </c>
      <c r="N128" s="6" t="s">
        <v>181</v>
      </c>
      <c r="O128" s="6" t="s">
        <v>23</v>
      </c>
      <c r="P128" s="5">
        <v>5</v>
      </c>
      <c r="Q128" s="6" t="s">
        <v>100</v>
      </c>
      <c r="R128" s="5">
        <v>60</v>
      </c>
      <c r="S128" s="5">
        <v>5</v>
      </c>
      <c r="T128" s="5">
        <v>78</v>
      </c>
      <c r="U128" s="6" t="s">
        <v>23</v>
      </c>
      <c r="V128" s="6" t="s">
        <v>23</v>
      </c>
      <c r="W128" s="6" t="s">
        <v>31</v>
      </c>
      <c r="X128" s="6" t="s">
        <v>394</v>
      </c>
    </row>
    <row r="129" spans="1:24" ht="17.25" customHeight="1">
      <c r="A129" s="2">
        <v>127</v>
      </c>
      <c r="B129" s="5">
        <v>234</v>
      </c>
      <c r="C129" s="6" t="s">
        <v>395</v>
      </c>
      <c r="D129" s="6" t="s">
        <v>302</v>
      </c>
      <c r="E129" s="6" t="str">
        <f>VLOOKUP($D129,date!$B$2:$E$376,2,FALSE)</f>
        <v>10.1055/s-0029-1218691</v>
      </c>
      <c r="F129" s="6">
        <f>VLOOKUP($D129,date!$B$2:$E$376,3,FALSE)</f>
        <v>3</v>
      </c>
      <c r="G129" s="6">
        <f>VLOOKUP($D129,date!$B$2:$E$376,4,FALSE)</f>
        <v>2010</v>
      </c>
      <c r="H129" s="6" t="s">
        <v>303</v>
      </c>
      <c r="I129" s="6" t="s">
        <v>23</v>
      </c>
      <c r="J129" s="6" t="s">
        <v>304</v>
      </c>
      <c r="K129" s="6" t="s">
        <v>396</v>
      </c>
      <c r="L129" s="6" t="s">
        <v>305</v>
      </c>
      <c r="M129" s="6" t="s">
        <v>397</v>
      </c>
      <c r="N129" s="6" t="s">
        <v>181</v>
      </c>
      <c r="O129" s="6" t="s">
        <v>23</v>
      </c>
      <c r="P129" s="5">
        <v>5</v>
      </c>
      <c r="Q129" s="6" t="s">
        <v>100</v>
      </c>
      <c r="R129" s="5">
        <v>60</v>
      </c>
      <c r="S129" s="5">
        <v>5</v>
      </c>
      <c r="T129" s="5">
        <v>76</v>
      </c>
      <c r="U129" s="6" t="s">
        <v>23</v>
      </c>
      <c r="V129" s="6" t="s">
        <v>23</v>
      </c>
      <c r="W129" s="6" t="s">
        <v>31</v>
      </c>
      <c r="X129" s="6" t="s">
        <v>398</v>
      </c>
    </row>
    <row r="130" spans="1:24" ht="17.25" customHeight="1">
      <c r="A130" s="2">
        <v>128</v>
      </c>
      <c r="B130" s="5">
        <v>235</v>
      </c>
      <c r="C130" s="6" t="s">
        <v>399</v>
      </c>
      <c r="D130" s="6" t="s">
        <v>302</v>
      </c>
      <c r="E130" s="6" t="str">
        <f>VLOOKUP($D130,date!$B$2:$E$376,2,FALSE)</f>
        <v>10.1055/s-0029-1218691</v>
      </c>
      <c r="F130" s="6">
        <f>VLOOKUP($D130,date!$B$2:$E$376,3,FALSE)</f>
        <v>3</v>
      </c>
      <c r="G130" s="6">
        <f>VLOOKUP($D130,date!$B$2:$E$376,4,FALSE)</f>
        <v>2010</v>
      </c>
      <c r="H130" s="6" t="s">
        <v>303</v>
      </c>
      <c r="I130" s="6" t="s">
        <v>23</v>
      </c>
      <c r="J130" s="6" t="s">
        <v>304</v>
      </c>
      <c r="K130" s="6" t="s">
        <v>400</v>
      </c>
      <c r="L130" s="6" t="s">
        <v>305</v>
      </c>
      <c r="M130" s="6" t="s">
        <v>401</v>
      </c>
      <c r="N130" s="6" t="s">
        <v>181</v>
      </c>
      <c r="O130" s="6" t="s">
        <v>23</v>
      </c>
      <c r="P130" s="5">
        <v>5</v>
      </c>
      <c r="Q130" s="6" t="s">
        <v>100</v>
      </c>
      <c r="R130" s="5">
        <v>60</v>
      </c>
      <c r="S130" s="5">
        <v>5</v>
      </c>
      <c r="T130" s="5">
        <v>77</v>
      </c>
      <c r="U130" s="6" t="s">
        <v>23</v>
      </c>
      <c r="V130" s="6" t="s">
        <v>23</v>
      </c>
      <c r="W130" s="6" t="s">
        <v>31</v>
      </c>
      <c r="X130" s="6" t="s">
        <v>402</v>
      </c>
    </row>
    <row r="131" spans="1:24" ht="17.25" customHeight="1">
      <c r="A131" s="2">
        <v>129</v>
      </c>
      <c r="B131" s="5">
        <v>236</v>
      </c>
      <c r="C131" s="6" t="s">
        <v>403</v>
      </c>
      <c r="D131" s="6" t="s">
        <v>302</v>
      </c>
      <c r="E131" s="6" t="str">
        <f>VLOOKUP($D131,date!$B$2:$E$376,2,FALSE)</f>
        <v>10.1055/s-0029-1218691</v>
      </c>
      <c r="F131" s="6">
        <f>VLOOKUP($D131,date!$B$2:$E$376,3,FALSE)</f>
        <v>3</v>
      </c>
      <c r="G131" s="6">
        <f>VLOOKUP($D131,date!$B$2:$E$376,4,FALSE)</f>
        <v>2010</v>
      </c>
      <c r="H131" s="6" t="s">
        <v>303</v>
      </c>
      <c r="I131" s="6" t="s">
        <v>23</v>
      </c>
      <c r="J131" s="6" t="s">
        <v>304</v>
      </c>
      <c r="K131" s="6" t="s">
        <v>404</v>
      </c>
      <c r="L131" s="6" t="s">
        <v>305</v>
      </c>
      <c r="M131" s="6" t="s">
        <v>405</v>
      </c>
      <c r="N131" s="6" t="s">
        <v>181</v>
      </c>
      <c r="O131" s="6" t="s">
        <v>23</v>
      </c>
      <c r="P131" s="5">
        <v>5</v>
      </c>
      <c r="Q131" s="6" t="s">
        <v>100</v>
      </c>
      <c r="R131" s="5">
        <v>60</v>
      </c>
      <c r="S131" s="5">
        <v>5</v>
      </c>
      <c r="T131" s="5">
        <v>80</v>
      </c>
      <c r="U131" s="6" t="s">
        <v>23</v>
      </c>
      <c r="V131" s="6" t="s">
        <v>23</v>
      </c>
      <c r="W131" s="6" t="s">
        <v>31</v>
      </c>
      <c r="X131" s="6" t="s">
        <v>406</v>
      </c>
    </row>
    <row r="132" spans="1:24" ht="17.25" customHeight="1">
      <c r="A132" s="2">
        <v>130</v>
      </c>
      <c r="B132" s="5">
        <v>237</v>
      </c>
      <c r="C132" s="6" t="s">
        <v>407</v>
      </c>
      <c r="D132" s="6" t="s">
        <v>302</v>
      </c>
      <c r="E132" s="6" t="str">
        <f>VLOOKUP($D132,date!$B$2:$E$376,2,FALSE)</f>
        <v>10.1055/s-0029-1218691</v>
      </c>
      <c r="F132" s="6">
        <f>VLOOKUP($D132,date!$B$2:$E$376,3,FALSE)</f>
        <v>3</v>
      </c>
      <c r="G132" s="6">
        <f>VLOOKUP($D132,date!$B$2:$E$376,4,FALSE)</f>
        <v>2010</v>
      </c>
      <c r="H132" s="6" t="s">
        <v>303</v>
      </c>
      <c r="I132" s="6" t="s">
        <v>23</v>
      </c>
      <c r="J132" s="6" t="s">
        <v>304</v>
      </c>
      <c r="K132" s="6" t="s">
        <v>408</v>
      </c>
      <c r="L132" s="6" t="s">
        <v>305</v>
      </c>
      <c r="M132" s="6" t="s">
        <v>409</v>
      </c>
      <c r="N132" s="6" t="s">
        <v>181</v>
      </c>
      <c r="O132" s="6" t="s">
        <v>23</v>
      </c>
      <c r="P132" s="5">
        <v>5</v>
      </c>
      <c r="Q132" s="6" t="s">
        <v>100</v>
      </c>
      <c r="R132" s="5">
        <v>60</v>
      </c>
      <c r="S132" s="5">
        <v>5</v>
      </c>
      <c r="T132" s="5">
        <v>73</v>
      </c>
      <c r="U132" s="6" t="s">
        <v>23</v>
      </c>
      <c r="V132" s="6" t="s">
        <v>23</v>
      </c>
      <c r="W132" s="6" t="s">
        <v>31</v>
      </c>
      <c r="X132" s="6" t="s">
        <v>410</v>
      </c>
    </row>
    <row r="133" spans="1:24" ht="17.25" customHeight="1">
      <c r="A133" s="2">
        <v>131</v>
      </c>
      <c r="B133" s="5">
        <v>238</v>
      </c>
      <c r="C133" s="6" t="s">
        <v>411</v>
      </c>
      <c r="D133" s="6" t="s">
        <v>302</v>
      </c>
      <c r="E133" s="6" t="str">
        <f>VLOOKUP($D133,date!$B$2:$E$376,2,FALSE)</f>
        <v>10.1055/s-0029-1218691</v>
      </c>
      <c r="F133" s="6">
        <f>VLOOKUP($D133,date!$B$2:$E$376,3,FALSE)</f>
        <v>3</v>
      </c>
      <c r="G133" s="6">
        <f>VLOOKUP($D133,date!$B$2:$E$376,4,FALSE)</f>
        <v>2010</v>
      </c>
      <c r="H133" s="6" t="s">
        <v>303</v>
      </c>
      <c r="I133" s="6" t="s">
        <v>23</v>
      </c>
      <c r="J133" s="6" t="s">
        <v>304</v>
      </c>
      <c r="K133" s="6" t="s">
        <v>412</v>
      </c>
      <c r="L133" s="6" t="s">
        <v>305</v>
      </c>
      <c r="M133" s="6" t="s">
        <v>413</v>
      </c>
      <c r="N133" s="6" t="s">
        <v>181</v>
      </c>
      <c r="O133" s="6" t="s">
        <v>23</v>
      </c>
      <c r="P133" s="5">
        <v>5</v>
      </c>
      <c r="Q133" s="6" t="s">
        <v>100</v>
      </c>
      <c r="R133" s="5">
        <v>60</v>
      </c>
      <c r="S133" s="5">
        <v>5</v>
      </c>
      <c r="T133" s="5">
        <v>75</v>
      </c>
      <c r="U133" s="6" t="s">
        <v>23</v>
      </c>
      <c r="V133" s="6" t="s">
        <v>23</v>
      </c>
      <c r="W133" s="6" t="s">
        <v>31</v>
      </c>
      <c r="X133" s="6" t="s">
        <v>414</v>
      </c>
    </row>
    <row r="134" spans="1:24" ht="17.25" customHeight="1">
      <c r="A134" s="2">
        <v>132</v>
      </c>
      <c r="B134" s="5">
        <v>239</v>
      </c>
      <c r="C134" s="6" t="s">
        <v>415</v>
      </c>
      <c r="D134" s="6" t="s">
        <v>302</v>
      </c>
      <c r="E134" s="6" t="str">
        <f>VLOOKUP($D134,date!$B$2:$E$376,2,FALSE)</f>
        <v>10.1055/s-0029-1218691</v>
      </c>
      <c r="F134" s="6">
        <f>VLOOKUP($D134,date!$B$2:$E$376,3,FALSE)</f>
        <v>3</v>
      </c>
      <c r="G134" s="6">
        <f>VLOOKUP($D134,date!$B$2:$E$376,4,FALSE)</f>
        <v>2010</v>
      </c>
      <c r="H134" s="6" t="s">
        <v>303</v>
      </c>
      <c r="I134" s="6" t="s">
        <v>23</v>
      </c>
      <c r="J134" s="6" t="s">
        <v>304</v>
      </c>
      <c r="K134" s="6" t="s">
        <v>25</v>
      </c>
      <c r="L134" s="6" t="s">
        <v>416</v>
      </c>
      <c r="M134" s="6" t="s">
        <v>417</v>
      </c>
      <c r="N134" s="6" t="s">
        <v>181</v>
      </c>
      <c r="O134" s="6" t="s">
        <v>23</v>
      </c>
      <c r="P134" s="5">
        <v>5</v>
      </c>
      <c r="Q134" s="6" t="s">
        <v>100</v>
      </c>
      <c r="R134" s="5">
        <v>60</v>
      </c>
      <c r="S134" s="5">
        <v>12</v>
      </c>
      <c r="T134" s="5">
        <v>83</v>
      </c>
      <c r="U134" s="6" t="s">
        <v>23</v>
      </c>
      <c r="V134" s="6" t="s">
        <v>23</v>
      </c>
      <c r="W134" s="6" t="s">
        <v>31</v>
      </c>
      <c r="X134" s="6" t="s">
        <v>418</v>
      </c>
    </row>
    <row r="135" spans="1:24" ht="17.25" customHeight="1">
      <c r="A135" s="2">
        <v>133</v>
      </c>
      <c r="B135" s="5">
        <v>240</v>
      </c>
      <c r="C135" s="6" t="s">
        <v>419</v>
      </c>
      <c r="D135" s="6" t="s">
        <v>302</v>
      </c>
      <c r="E135" s="6" t="str">
        <f>VLOOKUP($D135,date!$B$2:$E$376,2,FALSE)</f>
        <v>10.1055/s-0029-1218691</v>
      </c>
      <c r="F135" s="6">
        <f>VLOOKUP($D135,date!$B$2:$E$376,3,FALSE)</f>
        <v>3</v>
      </c>
      <c r="G135" s="6">
        <f>VLOOKUP($D135,date!$B$2:$E$376,4,FALSE)</f>
        <v>2010</v>
      </c>
      <c r="H135" s="6" t="s">
        <v>303</v>
      </c>
      <c r="I135" s="6" t="s">
        <v>23</v>
      </c>
      <c r="J135" s="6" t="s">
        <v>304</v>
      </c>
      <c r="K135" s="6" t="s">
        <v>341</v>
      </c>
      <c r="L135" s="6" t="s">
        <v>416</v>
      </c>
      <c r="M135" s="6" t="s">
        <v>420</v>
      </c>
      <c r="N135" s="6" t="s">
        <v>181</v>
      </c>
      <c r="O135" s="6" t="s">
        <v>23</v>
      </c>
      <c r="P135" s="5">
        <v>5</v>
      </c>
      <c r="Q135" s="6" t="s">
        <v>100</v>
      </c>
      <c r="R135" s="5">
        <v>60</v>
      </c>
      <c r="S135" s="5">
        <v>12</v>
      </c>
      <c r="T135" s="5">
        <v>83</v>
      </c>
      <c r="U135" s="6" t="s">
        <v>23</v>
      </c>
      <c r="V135" s="6" t="s">
        <v>23</v>
      </c>
      <c r="W135" s="6" t="s">
        <v>31</v>
      </c>
      <c r="X135" s="6" t="s">
        <v>421</v>
      </c>
    </row>
    <row r="136" spans="1:24" ht="17.25" customHeight="1">
      <c r="A136" s="2">
        <v>134</v>
      </c>
      <c r="B136" s="5">
        <v>241</v>
      </c>
      <c r="C136" s="6" t="s">
        <v>422</v>
      </c>
      <c r="D136" s="6" t="s">
        <v>302</v>
      </c>
      <c r="E136" s="6" t="str">
        <f>VLOOKUP($D136,date!$B$2:$E$376,2,FALSE)</f>
        <v>10.1055/s-0029-1218691</v>
      </c>
      <c r="F136" s="6">
        <f>VLOOKUP($D136,date!$B$2:$E$376,3,FALSE)</f>
        <v>3</v>
      </c>
      <c r="G136" s="6">
        <f>VLOOKUP($D136,date!$B$2:$E$376,4,FALSE)</f>
        <v>2010</v>
      </c>
      <c r="H136" s="6" t="s">
        <v>303</v>
      </c>
      <c r="I136" s="6" t="s">
        <v>23</v>
      </c>
      <c r="J136" s="6" t="s">
        <v>304</v>
      </c>
      <c r="K136" s="6" t="s">
        <v>372</v>
      </c>
      <c r="L136" s="6" t="s">
        <v>423</v>
      </c>
      <c r="M136" s="6" t="s">
        <v>424</v>
      </c>
      <c r="N136" s="6" t="s">
        <v>181</v>
      </c>
      <c r="O136" s="6" t="s">
        <v>23</v>
      </c>
      <c r="P136" s="5">
        <v>5</v>
      </c>
      <c r="Q136" s="6" t="s">
        <v>100</v>
      </c>
      <c r="R136" s="5">
        <v>80</v>
      </c>
      <c r="S136" s="5">
        <v>12</v>
      </c>
      <c r="T136" s="5">
        <v>86</v>
      </c>
      <c r="U136" s="6" t="s">
        <v>23</v>
      </c>
      <c r="V136" s="6" t="s">
        <v>23</v>
      </c>
      <c r="W136" s="6" t="s">
        <v>31</v>
      </c>
      <c r="X136" s="6" t="s">
        <v>425</v>
      </c>
    </row>
    <row r="137" spans="1:24" ht="17.25" customHeight="1">
      <c r="A137" s="2">
        <v>135</v>
      </c>
      <c r="B137" s="5">
        <v>242</v>
      </c>
      <c r="C137" s="6" t="s">
        <v>426</v>
      </c>
      <c r="D137" s="6" t="s">
        <v>302</v>
      </c>
      <c r="E137" s="6" t="str">
        <f>VLOOKUP($D137,date!$B$2:$E$376,2,FALSE)</f>
        <v>10.1055/s-0029-1218691</v>
      </c>
      <c r="F137" s="6">
        <f>VLOOKUP($D137,date!$B$2:$E$376,3,FALSE)</f>
        <v>3</v>
      </c>
      <c r="G137" s="6">
        <f>VLOOKUP($D137,date!$B$2:$E$376,4,FALSE)</f>
        <v>2010</v>
      </c>
      <c r="H137" s="6" t="s">
        <v>303</v>
      </c>
      <c r="I137" s="6" t="s">
        <v>23</v>
      </c>
      <c r="J137" s="6" t="s">
        <v>304</v>
      </c>
      <c r="K137" s="6" t="s">
        <v>40</v>
      </c>
      <c r="L137" s="6" t="s">
        <v>427</v>
      </c>
      <c r="M137" s="6" t="s">
        <v>428</v>
      </c>
      <c r="N137" s="6" t="s">
        <v>181</v>
      </c>
      <c r="O137" s="6" t="s">
        <v>23</v>
      </c>
      <c r="P137" s="5">
        <v>5</v>
      </c>
      <c r="Q137" s="6" t="s">
        <v>100</v>
      </c>
      <c r="R137" s="5">
        <v>80</v>
      </c>
      <c r="S137" s="5">
        <v>12</v>
      </c>
      <c r="T137" s="5">
        <v>78</v>
      </c>
      <c r="U137" s="6" t="s">
        <v>23</v>
      </c>
      <c r="V137" s="6" t="s">
        <v>23</v>
      </c>
      <c r="W137" s="6" t="s">
        <v>31</v>
      </c>
      <c r="X137" s="6" t="s">
        <v>429</v>
      </c>
    </row>
    <row r="138" spans="1:24" ht="17.25" customHeight="1">
      <c r="A138" s="2">
        <v>136</v>
      </c>
      <c r="B138" s="5">
        <v>243</v>
      </c>
      <c r="C138" s="6" t="s">
        <v>430</v>
      </c>
      <c r="D138" s="6" t="s">
        <v>302</v>
      </c>
      <c r="E138" s="6" t="str">
        <f>VLOOKUP($D138,date!$B$2:$E$376,2,FALSE)</f>
        <v>10.1055/s-0029-1218691</v>
      </c>
      <c r="F138" s="6">
        <f>VLOOKUP($D138,date!$B$2:$E$376,3,FALSE)</f>
        <v>3</v>
      </c>
      <c r="G138" s="6">
        <f>VLOOKUP($D138,date!$B$2:$E$376,4,FALSE)</f>
        <v>2010</v>
      </c>
      <c r="H138" s="6" t="s">
        <v>303</v>
      </c>
      <c r="I138" s="6" t="s">
        <v>23</v>
      </c>
      <c r="J138" s="6" t="s">
        <v>304</v>
      </c>
      <c r="K138" s="6" t="s">
        <v>40</v>
      </c>
      <c r="L138" s="6" t="s">
        <v>431</v>
      </c>
      <c r="M138" s="6" t="s">
        <v>432</v>
      </c>
      <c r="N138" s="6" t="s">
        <v>181</v>
      </c>
      <c r="O138" s="6" t="s">
        <v>23</v>
      </c>
      <c r="P138" s="5">
        <v>5</v>
      </c>
      <c r="Q138" s="6" t="s">
        <v>100</v>
      </c>
      <c r="R138" s="5">
        <v>80</v>
      </c>
      <c r="S138" s="5">
        <v>12</v>
      </c>
      <c r="T138" s="5">
        <v>65</v>
      </c>
      <c r="U138" s="6" t="s">
        <v>23</v>
      </c>
      <c r="V138" s="6" t="s">
        <v>23</v>
      </c>
      <c r="W138" s="6" t="s">
        <v>31</v>
      </c>
      <c r="X138" s="6" t="s">
        <v>433</v>
      </c>
    </row>
    <row r="139" spans="1:24" ht="17.25" customHeight="1">
      <c r="A139" s="2">
        <v>137</v>
      </c>
      <c r="B139" s="5">
        <v>244</v>
      </c>
      <c r="C139" s="6" t="s">
        <v>434</v>
      </c>
      <c r="D139" s="6" t="s">
        <v>302</v>
      </c>
      <c r="E139" s="6" t="str">
        <f>VLOOKUP($D139,date!$B$2:$E$376,2,FALSE)</f>
        <v>10.1055/s-0029-1218691</v>
      </c>
      <c r="F139" s="6">
        <f>VLOOKUP($D139,date!$B$2:$E$376,3,FALSE)</f>
        <v>3</v>
      </c>
      <c r="G139" s="6">
        <f>VLOOKUP($D139,date!$B$2:$E$376,4,FALSE)</f>
        <v>2010</v>
      </c>
      <c r="H139" s="6" t="s">
        <v>303</v>
      </c>
      <c r="I139" s="6" t="s">
        <v>23</v>
      </c>
      <c r="J139" s="6" t="s">
        <v>304</v>
      </c>
      <c r="K139" s="6" t="s">
        <v>365</v>
      </c>
      <c r="L139" s="6" t="s">
        <v>435</v>
      </c>
      <c r="M139" s="6" t="s">
        <v>436</v>
      </c>
      <c r="N139" s="6" t="s">
        <v>181</v>
      </c>
      <c r="O139" s="6" t="s">
        <v>23</v>
      </c>
      <c r="P139" s="5">
        <v>5</v>
      </c>
      <c r="Q139" s="6" t="s">
        <v>100</v>
      </c>
      <c r="R139" s="5">
        <v>120</v>
      </c>
      <c r="S139" s="5">
        <v>12</v>
      </c>
      <c r="T139" s="5">
        <v>81</v>
      </c>
      <c r="U139" s="6" t="s">
        <v>23</v>
      </c>
      <c r="V139" s="6" t="s">
        <v>23</v>
      </c>
      <c r="W139" s="6" t="s">
        <v>31</v>
      </c>
      <c r="X139" s="6" t="s">
        <v>437</v>
      </c>
    </row>
    <row r="140" spans="1:24" ht="17.25" customHeight="1">
      <c r="A140" s="2">
        <v>138</v>
      </c>
      <c r="B140" s="5">
        <v>245</v>
      </c>
      <c r="C140" s="6" t="s">
        <v>438</v>
      </c>
      <c r="D140" s="6" t="s">
        <v>302</v>
      </c>
      <c r="E140" s="6" t="str">
        <f>VLOOKUP($D140,date!$B$2:$E$376,2,FALSE)</f>
        <v>10.1055/s-0029-1218691</v>
      </c>
      <c r="F140" s="6">
        <f>VLOOKUP($D140,date!$B$2:$E$376,3,FALSE)</f>
        <v>3</v>
      </c>
      <c r="G140" s="6">
        <f>VLOOKUP($D140,date!$B$2:$E$376,4,FALSE)</f>
        <v>2010</v>
      </c>
      <c r="H140" s="6" t="s">
        <v>303</v>
      </c>
      <c r="I140" s="6" t="s">
        <v>23</v>
      </c>
      <c r="J140" s="6" t="s">
        <v>304</v>
      </c>
      <c r="K140" s="6" t="s">
        <v>365</v>
      </c>
      <c r="L140" s="6" t="s">
        <v>439</v>
      </c>
      <c r="M140" s="6" t="s">
        <v>440</v>
      </c>
      <c r="N140" s="6" t="s">
        <v>181</v>
      </c>
      <c r="O140" s="6" t="s">
        <v>23</v>
      </c>
      <c r="P140" s="5">
        <v>5</v>
      </c>
      <c r="Q140" s="6" t="s">
        <v>100</v>
      </c>
      <c r="R140" s="5">
        <v>120</v>
      </c>
      <c r="S140" s="5">
        <v>12</v>
      </c>
      <c r="T140" s="5">
        <v>88</v>
      </c>
      <c r="U140" s="6" t="s">
        <v>23</v>
      </c>
      <c r="V140" s="6" t="s">
        <v>23</v>
      </c>
      <c r="W140" s="6" t="s">
        <v>31</v>
      </c>
      <c r="X140" s="6" t="s">
        <v>441</v>
      </c>
    </row>
    <row r="141" spans="1:24" ht="17.25" customHeight="1">
      <c r="A141" s="2">
        <v>139</v>
      </c>
      <c r="B141" s="5">
        <v>246</v>
      </c>
      <c r="C141" s="6" t="s">
        <v>442</v>
      </c>
      <c r="D141" s="6" t="s">
        <v>302</v>
      </c>
      <c r="E141" s="6" t="str">
        <f>VLOOKUP($D141,date!$B$2:$E$376,2,FALSE)</f>
        <v>10.1055/s-0029-1218691</v>
      </c>
      <c r="F141" s="6">
        <f>VLOOKUP($D141,date!$B$2:$E$376,3,FALSE)</f>
        <v>3</v>
      </c>
      <c r="G141" s="6">
        <f>VLOOKUP($D141,date!$B$2:$E$376,4,FALSE)</f>
        <v>2010</v>
      </c>
      <c r="H141" s="6" t="s">
        <v>303</v>
      </c>
      <c r="I141" s="6" t="s">
        <v>23</v>
      </c>
      <c r="J141" s="6" t="s">
        <v>304</v>
      </c>
      <c r="K141" s="6" t="s">
        <v>443</v>
      </c>
      <c r="L141" s="6" t="s">
        <v>427</v>
      </c>
      <c r="M141" s="6" t="s">
        <v>444</v>
      </c>
      <c r="N141" s="6" t="s">
        <v>181</v>
      </c>
      <c r="O141" s="6" t="s">
        <v>23</v>
      </c>
      <c r="P141" s="5">
        <v>5</v>
      </c>
      <c r="Q141" s="6" t="s">
        <v>100</v>
      </c>
      <c r="R141" s="5">
        <v>80</v>
      </c>
      <c r="S141" s="5">
        <v>12</v>
      </c>
      <c r="T141" s="5">
        <v>78</v>
      </c>
      <c r="U141" s="6" t="s">
        <v>23</v>
      </c>
      <c r="V141" s="6" t="s">
        <v>23</v>
      </c>
      <c r="W141" s="6" t="s">
        <v>31</v>
      </c>
      <c r="X141" s="6" t="s">
        <v>445</v>
      </c>
    </row>
    <row r="142" spans="1:24" ht="17.25" customHeight="1">
      <c r="A142" s="2">
        <v>140</v>
      </c>
      <c r="B142" s="5">
        <v>249</v>
      </c>
      <c r="C142" s="6" t="s">
        <v>446</v>
      </c>
      <c r="D142" s="6" t="s">
        <v>447</v>
      </c>
      <c r="E142" s="6" t="str">
        <f>VLOOKUP($D142,date!$B$2:$E$376,2,FALSE)</f>
        <v>10.1016/j.tetlet.2008.05.008</v>
      </c>
      <c r="F142" s="6">
        <f>VLOOKUP($D142,date!$B$2:$E$376,3,FALSE)</f>
        <v>7</v>
      </c>
      <c r="G142" s="6">
        <f>VLOOKUP($D142,date!$B$2:$E$376,4,FALSE)</f>
        <v>2008</v>
      </c>
      <c r="H142" s="6" t="s">
        <v>448</v>
      </c>
      <c r="I142" s="6" t="s">
        <v>23</v>
      </c>
      <c r="J142" s="6" t="s">
        <v>304</v>
      </c>
      <c r="K142" s="6" t="s">
        <v>25</v>
      </c>
      <c r="L142" s="6" t="s">
        <v>305</v>
      </c>
      <c r="M142" s="6" t="s">
        <v>306</v>
      </c>
      <c r="N142" s="6" t="s">
        <v>449</v>
      </c>
      <c r="O142" s="6" t="s">
        <v>23</v>
      </c>
      <c r="P142" s="5">
        <v>5</v>
      </c>
      <c r="Q142" s="6" t="s">
        <v>322</v>
      </c>
      <c r="R142" s="5">
        <v>60</v>
      </c>
      <c r="S142" s="5">
        <v>24</v>
      </c>
      <c r="T142" s="5">
        <v>63</v>
      </c>
      <c r="U142" s="6" t="s">
        <v>23</v>
      </c>
      <c r="V142" s="6" t="s">
        <v>23</v>
      </c>
      <c r="W142" s="6" t="s">
        <v>31</v>
      </c>
      <c r="X142" s="6" t="s">
        <v>308</v>
      </c>
    </row>
    <row r="143" spans="1:24" ht="17.25" customHeight="1">
      <c r="A143" s="2">
        <v>141</v>
      </c>
      <c r="B143" s="5">
        <v>250</v>
      </c>
      <c r="C143" s="6" t="s">
        <v>450</v>
      </c>
      <c r="D143" s="6" t="s">
        <v>447</v>
      </c>
      <c r="E143" s="6" t="str">
        <f>VLOOKUP($D143,date!$B$2:$E$376,2,FALSE)</f>
        <v>10.1016/j.tetlet.2008.05.008</v>
      </c>
      <c r="F143" s="6">
        <f>VLOOKUP($D143,date!$B$2:$E$376,3,FALSE)</f>
        <v>7</v>
      </c>
      <c r="G143" s="6">
        <f>VLOOKUP($D143,date!$B$2:$E$376,4,FALSE)</f>
        <v>2008</v>
      </c>
      <c r="H143" s="6" t="s">
        <v>448</v>
      </c>
      <c r="I143" s="6" t="s">
        <v>23</v>
      </c>
      <c r="J143" s="6" t="s">
        <v>315</v>
      </c>
      <c r="K143" s="6" t="s">
        <v>25</v>
      </c>
      <c r="L143" s="6" t="s">
        <v>305</v>
      </c>
      <c r="M143" s="6" t="s">
        <v>306</v>
      </c>
      <c r="N143" s="6" t="s">
        <v>449</v>
      </c>
      <c r="O143" s="6" t="s">
        <v>23</v>
      </c>
      <c r="P143" s="5">
        <v>5</v>
      </c>
      <c r="Q143" s="6" t="s">
        <v>322</v>
      </c>
      <c r="R143" s="5">
        <v>60</v>
      </c>
      <c r="S143" s="5">
        <v>24</v>
      </c>
      <c r="T143" s="5">
        <v>7</v>
      </c>
      <c r="U143" s="6" t="s">
        <v>23</v>
      </c>
      <c r="V143" s="6" t="s">
        <v>23</v>
      </c>
      <c r="W143" s="6" t="s">
        <v>31</v>
      </c>
      <c r="X143" s="6" t="s">
        <v>308</v>
      </c>
    </row>
    <row r="144" spans="1:24" ht="17.25" customHeight="1">
      <c r="A144" s="2">
        <v>142</v>
      </c>
      <c r="B144" s="5">
        <v>251</v>
      </c>
      <c r="C144" s="6" t="s">
        <v>451</v>
      </c>
      <c r="D144" s="6" t="s">
        <v>447</v>
      </c>
      <c r="E144" s="6" t="str">
        <f>VLOOKUP($D144,date!$B$2:$E$376,2,FALSE)</f>
        <v>10.1016/j.tetlet.2008.05.008</v>
      </c>
      <c r="F144" s="6">
        <f>VLOOKUP($D144,date!$B$2:$E$376,3,FALSE)</f>
        <v>7</v>
      </c>
      <c r="G144" s="6">
        <f>VLOOKUP($D144,date!$B$2:$E$376,4,FALSE)</f>
        <v>2008</v>
      </c>
      <c r="H144" s="6" t="s">
        <v>448</v>
      </c>
      <c r="I144" s="6" t="s">
        <v>23</v>
      </c>
      <c r="J144" s="6" t="s">
        <v>24</v>
      </c>
      <c r="K144" s="6" t="s">
        <v>25</v>
      </c>
      <c r="L144" s="6" t="s">
        <v>305</v>
      </c>
      <c r="M144" s="6" t="s">
        <v>306</v>
      </c>
      <c r="N144" s="6" t="s">
        <v>449</v>
      </c>
      <c r="O144" s="6" t="s">
        <v>23</v>
      </c>
      <c r="P144" s="5">
        <v>5</v>
      </c>
      <c r="Q144" s="6" t="s">
        <v>322</v>
      </c>
      <c r="R144" s="5">
        <v>60</v>
      </c>
      <c r="S144" s="5">
        <v>24</v>
      </c>
      <c r="T144" s="5">
        <v>75</v>
      </c>
      <c r="U144" s="6" t="s">
        <v>23</v>
      </c>
      <c r="V144" s="6" t="s">
        <v>23</v>
      </c>
      <c r="W144" s="6" t="s">
        <v>31</v>
      </c>
      <c r="X144" s="6" t="s">
        <v>308</v>
      </c>
    </row>
    <row r="145" spans="1:24" ht="17.25" customHeight="1">
      <c r="A145" s="2">
        <v>143</v>
      </c>
      <c r="B145" s="5">
        <v>252</v>
      </c>
      <c r="C145" s="6" t="s">
        <v>452</v>
      </c>
      <c r="D145" s="6" t="s">
        <v>447</v>
      </c>
      <c r="E145" s="6" t="str">
        <f>VLOOKUP($D145,date!$B$2:$E$376,2,FALSE)</f>
        <v>10.1016/j.tetlet.2008.05.008</v>
      </c>
      <c r="F145" s="6">
        <f>VLOOKUP($D145,date!$B$2:$E$376,3,FALSE)</f>
        <v>7</v>
      </c>
      <c r="G145" s="6">
        <f>VLOOKUP($D145,date!$B$2:$E$376,4,FALSE)</f>
        <v>2008</v>
      </c>
      <c r="H145" s="6" t="s">
        <v>448</v>
      </c>
      <c r="I145" s="6" t="s">
        <v>23</v>
      </c>
      <c r="J145" s="6" t="s">
        <v>453</v>
      </c>
      <c r="K145" s="6" t="s">
        <v>25</v>
      </c>
      <c r="L145" s="6" t="s">
        <v>305</v>
      </c>
      <c r="M145" s="6" t="s">
        <v>306</v>
      </c>
      <c r="N145" s="6" t="s">
        <v>449</v>
      </c>
      <c r="O145" s="6" t="s">
        <v>23</v>
      </c>
      <c r="P145" s="5">
        <v>5</v>
      </c>
      <c r="Q145" s="6" t="s">
        <v>322</v>
      </c>
      <c r="R145" s="5">
        <v>60</v>
      </c>
      <c r="S145" s="5">
        <v>24</v>
      </c>
      <c r="T145" s="5">
        <v>90</v>
      </c>
      <c r="U145" s="6" t="s">
        <v>23</v>
      </c>
      <c r="V145" s="6" t="s">
        <v>23</v>
      </c>
      <c r="W145" s="6" t="s">
        <v>31</v>
      </c>
      <c r="X145" s="6" t="s">
        <v>308</v>
      </c>
    </row>
    <row r="146" spans="1:24" ht="17.25" customHeight="1">
      <c r="A146" s="2">
        <v>144</v>
      </c>
      <c r="B146" s="5">
        <v>253</v>
      </c>
      <c r="C146" s="6" t="s">
        <v>454</v>
      </c>
      <c r="D146" s="6" t="s">
        <v>447</v>
      </c>
      <c r="E146" s="6" t="str">
        <f>VLOOKUP($D146,date!$B$2:$E$376,2,FALSE)</f>
        <v>10.1016/j.tetlet.2008.05.008</v>
      </c>
      <c r="F146" s="6">
        <f>VLOOKUP($D146,date!$B$2:$E$376,3,FALSE)</f>
        <v>7</v>
      </c>
      <c r="G146" s="6">
        <f>VLOOKUP($D146,date!$B$2:$E$376,4,FALSE)</f>
        <v>2008</v>
      </c>
      <c r="H146" s="6" t="s">
        <v>448</v>
      </c>
      <c r="I146" s="6" t="s">
        <v>23</v>
      </c>
      <c r="J146" s="6" t="s">
        <v>453</v>
      </c>
      <c r="K146" s="6" t="s">
        <v>25</v>
      </c>
      <c r="L146" s="6" t="s">
        <v>305</v>
      </c>
      <c r="M146" s="6" t="s">
        <v>306</v>
      </c>
      <c r="N146" s="6" t="s">
        <v>181</v>
      </c>
      <c r="O146" s="6" t="s">
        <v>23</v>
      </c>
      <c r="P146" s="5">
        <v>5</v>
      </c>
      <c r="Q146" s="6" t="s">
        <v>322</v>
      </c>
      <c r="R146" s="5">
        <v>60</v>
      </c>
      <c r="S146" s="5">
        <v>24</v>
      </c>
      <c r="T146" s="5">
        <v>65</v>
      </c>
      <c r="U146" s="6" t="s">
        <v>23</v>
      </c>
      <c r="V146" s="6" t="s">
        <v>23</v>
      </c>
      <c r="W146" s="6" t="s">
        <v>31</v>
      </c>
      <c r="X146" s="6" t="s">
        <v>308</v>
      </c>
    </row>
    <row r="147" spans="1:24" ht="17.25" customHeight="1">
      <c r="A147" s="2">
        <v>145</v>
      </c>
      <c r="B147" s="5">
        <v>254</v>
      </c>
      <c r="C147" s="6" t="s">
        <v>455</v>
      </c>
      <c r="D147" s="6" t="s">
        <v>447</v>
      </c>
      <c r="E147" s="6" t="str">
        <f>VLOOKUP($D147,date!$B$2:$E$376,2,FALSE)</f>
        <v>10.1016/j.tetlet.2008.05.008</v>
      </c>
      <c r="F147" s="6">
        <f>VLOOKUP($D147,date!$B$2:$E$376,3,FALSE)</f>
        <v>7</v>
      </c>
      <c r="G147" s="6">
        <f>VLOOKUP($D147,date!$B$2:$E$376,4,FALSE)</f>
        <v>2008</v>
      </c>
      <c r="H147" s="6" t="s">
        <v>448</v>
      </c>
      <c r="I147" s="6" t="s">
        <v>23</v>
      </c>
      <c r="J147" s="6" t="s">
        <v>453</v>
      </c>
      <c r="K147" s="6" t="s">
        <v>25</v>
      </c>
      <c r="L147" s="6" t="s">
        <v>305</v>
      </c>
      <c r="M147" s="6" t="s">
        <v>306</v>
      </c>
      <c r="N147" s="6" t="s">
        <v>111</v>
      </c>
      <c r="O147" s="6" t="s">
        <v>23</v>
      </c>
      <c r="P147" s="5">
        <v>5</v>
      </c>
      <c r="Q147" s="6" t="s">
        <v>322</v>
      </c>
      <c r="R147" s="5">
        <v>60</v>
      </c>
      <c r="S147" s="5">
        <v>24</v>
      </c>
      <c r="T147" s="5">
        <v>58</v>
      </c>
      <c r="U147" s="6" t="s">
        <v>23</v>
      </c>
      <c r="V147" s="6" t="s">
        <v>23</v>
      </c>
      <c r="W147" s="6" t="s">
        <v>31</v>
      </c>
      <c r="X147" s="6" t="s">
        <v>308</v>
      </c>
    </row>
    <row r="148" spans="1:24" ht="17.25" customHeight="1">
      <c r="A148" s="2">
        <v>146</v>
      </c>
      <c r="B148" s="5">
        <v>255</v>
      </c>
      <c r="C148" s="6" t="s">
        <v>456</v>
      </c>
      <c r="D148" s="6" t="s">
        <v>447</v>
      </c>
      <c r="E148" s="6" t="str">
        <f>VLOOKUP($D148,date!$B$2:$E$376,2,FALSE)</f>
        <v>10.1016/j.tetlet.2008.05.008</v>
      </c>
      <c r="F148" s="6">
        <f>VLOOKUP($D148,date!$B$2:$E$376,3,FALSE)</f>
        <v>7</v>
      </c>
      <c r="G148" s="6">
        <f>VLOOKUP($D148,date!$B$2:$E$376,4,FALSE)</f>
        <v>2008</v>
      </c>
      <c r="H148" s="6" t="s">
        <v>448</v>
      </c>
      <c r="I148" s="6" t="s">
        <v>23</v>
      </c>
      <c r="J148" s="6" t="s">
        <v>453</v>
      </c>
      <c r="K148" s="6" t="s">
        <v>25</v>
      </c>
      <c r="L148" s="6" t="s">
        <v>305</v>
      </c>
      <c r="M148" s="6" t="s">
        <v>306</v>
      </c>
      <c r="N148" s="6" t="s">
        <v>326</v>
      </c>
      <c r="O148" s="6" t="s">
        <v>23</v>
      </c>
      <c r="P148" s="5">
        <v>5</v>
      </c>
      <c r="Q148" s="6" t="s">
        <v>322</v>
      </c>
      <c r="R148" s="5">
        <v>60</v>
      </c>
      <c r="S148" s="5">
        <v>24</v>
      </c>
      <c r="T148" s="5">
        <v>45</v>
      </c>
      <c r="U148" s="6" t="s">
        <v>23</v>
      </c>
      <c r="V148" s="6" t="s">
        <v>23</v>
      </c>
      <c r="W148" s="6" t="s">
        <v>31</v>
      </c>
      <c r="X148" s="6" t="s">
        <v>308</v>
      </c>
    </row>
    <row r="149" spans="1:24" ht="17.25" customHeight="1">
      <c r="A149" s="2">
        <v>147</v>
      </c>
      <c r="B149" s="5">
        <v>256</v>
      </c>
      <c r="C149" s="6" t="s">
        <v>457</v>
      </c>
      <c r="D149" s="6" t="s">
        <v>447</v>
      </c>
      <c r="E149" s="6" t="str">
        <f>VLOOKUP($D149,date!$B$2:$E$376,2,FALSE)</f>
        <v>10.1016/j.tetlet.2008.05.008</v>
      </c>
      <c r="F149" s="6">
        <f>VLOOKUP($D149,date!$B$2:$E$376,3,FALSE)</f>
        <v>7</v>
      </c>
      <c r="G149" s="6">
        <f>VLOOKUP($D149,date!$B$2:$E$376,4,FALSE)</f>
        <v>2008</v>
      </c>
      <c r="H149" s="6" t="s">
        <v>448</v>
      </c>
      <c r="I149" s="6" t="s">
        <v>23</v>
      </c>
      <c r="J149" s="6" t="s">
        <v>453</v>
      </c>
      <c r="K149" s="6" t="s">
        <v>25</v>
      </c>
      <c r="L149" s="6" t="s">
        <v>305</v>
      </c>
      <c r="M149" s="6" t="s">
        <v>306</v>
      </c>
      <c r="N149" s="6" t="s">
        <v>324</v>
      </c>
      <c r="O149" s="6" t="s">
        <v>23</v>
      </c>
      <c r="P149" s="5">
        <v>5</v>
      </c>
      <c r="Q149" s="6" t="s">
        <v>322</v>
      </c>
      <c r="R149" s="5">
        <v>60</v>
      </c>
      <c r="S149" s="5">
        <v>24</v>
      </c>
      <c r="T149" s="5">
        <v>0</v>
      </c>
      <c r="U149" s="6" t="s">
        <v>23</v>
      </c>
      <c r="V149" s="6" t="s">
        <v>23</v>
      </c>
      <c r="W149" s="6" t="s">
        <v>31</v>
      </c>
      <c r="X149" s="6" t="s">
        <v>308</v>
      </c>
    </row>
    <row r="150" spans="1:24" ht="17.25" customHeight="1">
      <c r="A150" s="2">
        <v>148</v>
      </c>
      <c r="B150" s="5">
        <v>257</v>
      </c>
      <c r="C150" s="6" t="s">
        <v>458</v>
      </c>
      <c r="D150" s="6" t="s">
        <v>447</v>
      </c>
      <c r="E150" s="6" t="str">
        <f>VLOOKUP($D150,date!$B$2:$E$376,2,FALSE)</f>
        <v>10.1016/j.tetlet.2008.05.008</v>
      </c>
      <c r="F150" s="6">
        <f>VLOOKUP($D150,date!$B$2:$E$376,3,FALSE)</f>
        <v>7</v>
      </c>
      <c r="G150" s="6">
        <f>VLOOKUP($D150,date!$B$2:$E$376,4,FALSE)</f>
        <v>2008</v>
      </c>
      <c r="H150" s="6" t="s">
        <v>448</v>
      </c>
      <c r="I150" s="6" t="s">
        <v>23</v>
      </c>
      <c r="J150" s="6" t="s">
        <v>453</v>
      </c>
      <c r="K150" s="6" t="s">
        <v>25</v>
      </c>
      <c r="L150" s="6" t="s">
        <v>305</v>
      </c>
      <c r="M150" s="6" t="s">
        <v>306</v>
      </c>
      <c r="N150" s="6" t="s">
        <v>449</v>
      </c>
      <c r="O150" s="6" t="s">
        <v>23</v>
      </c>
      <c r="P150" s="5">
        <v>5</v>
      </c>
      <c r="Q150" s="6" t="s">
        <v>100</v>
      </c>
      <c r="R150" s="5">
        <v>60</v>
      </c>
      <c r="S150" s="5">
        <v>24</v>
      </c>
      <c r="T150" s="5">
        <v>70</v>
      </c>
      <c r="U150" s="6" t="s">
        <v>23</v>
      </c>
      <c r="V150" s="6" t="s">
        <v>23</v>
      </c>
      <c r="W150" s="6" t="s">
        <v>31</v>
      </c>
      <c r="X150" s="6" t="s">
        <v>308</v>
      </c>
    </row>
    <row r="151" spans="1:24" ht="17.25" customHeight="1">
      <c r="A151" s="2">
        <v>149</v>
      </c>
      <c r="B151" s="5">
        <v>258</v>
      </c>
      <c r="C151" s="6" t="s">
        <v>459</v>
      </c>
      <c r="D151" s="6" t="s">
        <v>447</v>
      </c>
      <c r="E151" s="6" t="str">
        <f>VLOOKUP($D151,date!$B$2:$E$376,2,FALSE)</f>
        <v>10.1016/j.tetlet.2008.05.008</v>
      </c>
      <c r="F151" s="6">
        <f>VLOOKUP($D151,date!$B$2:$E$376,3,FALSE)</f>
        <v>7</v>
      </c>
      <c r="G151" s="6">
        <f>VLOOKUP($D151,date!$B$2:$E$376,4,FALSE)</f>
        <v>2008</v>
      </c>
      <c r="H151" s="6" t="s">
        <v>448</v>
      </c>
      <c r="I151" s="6" t="s">
        <v>23</v>
      </c>
      <c r="J151" s="6" t="s">
        <v>453</v>
      </c>
      <c r="K151" s="6" t="s">
        <v>25</v>
      </c>
      <c r="L151" s="6" t="s">
        <v>305</v>
      </c>
      <c r="M151" s="6" t="s">
        <v>306</v>
      </c>
      <c r="N151" s="6" t="s">
        <v>449</v>
      </c>
      <c r="O151" s="6" t="s">
        <v>23</v>
      </c>
      <c r="P151" s="5">
        <v>5</v>
      </c>
      <c r="Q151" s="6" t="s">
        <v>28</v>
      </c>
      <c r="R151" s="5">
        <v>60</v>
      </c>
      <c r="S151" s="5">
        <v>24</v>
      </c>
      <c r="T151" s="5">
        <v>0</v>
      </c>
      <c r="U151" s="6" t="s">
        <v>23</v>
      </c>
      <c r="V151" s="6" t="s">
        <v>23</v>
      </c>
      <c r="W151" s="6" t="s">
        <v>31</v>
      </c>
      <c r="X151" s="6" t="s">
        <v>308</v>
      </c>
    </row>
    <row r="152" spans="1:24" ht="17.25" customHeight="1">
      <c r="A152" s="2">
        <v>150</v>
      </c>
      <c r="B152" s="5">
        <v>259</v>
      </c>
      <c r="C152" s="6" t="s">
        <v>460</v>
      </c>
      <c r="D152" s="6" t="s">
        <v>447</v>
      </c>
      <c r="E152" s="6" t="str">
        <f>VLOOKUP($D152,date!$B$2:$E$376,2,FALSE)</f>
        <v>10.1016/j.tetlet.2008.05.008</v>
      </c>
      <c r="F152" s="6">
        <f>VLOOKUP($D152,date!$B$2:$E$376,3,FALSE)</f>
        <v>7</v>
      </c>
      <c r="G152" s="6">
        <f>VLOOKUP($D152,date!$B$2:$E$376,4,FALSE)</f>
        <v>2008</v>
      </c>
      <c r="H152" s="6" t="s">
        <v>448</v>
      </c>
      <c r="I152" s="6" t="s">
        <v>23</v>
      </c>
      <c r="J152" s="6" t="s">
        <v>453</v>
      </c>
      <c r="K152" s="6" t="s">
        <v>25</v>
      </c>
      <c r="L152" s="6" t="s">
        <v>305</v>
      </c>
      <c r="M152" s="6" t="s">
        <v>306</v>
      </c>
      <c r="N152" s="6" t="s">
        <v>449</v>
      </c>
      <c r="O152" s="6" t="s">
        <v>23</v>
      </c>
      <c r="P152" s="5">
        <v>5</v>
      </c>
      <c r="Q152" s="6" t="s">
        <v>317</v>
      </c>
      <c r="R152" s="5">
        <v>60</v>
      </c>
      <c r="S152" s="5">
        <v>24</v>
      </c>
      <c r="T152" s="5">
        <v>25</v>
      </c>
      <c r="U152" s="6" t="s">
        <v>23</v>
      </c>
      <c r="V152" s="6" t="s">
        <v>307</v>
      </c>
      <c r="W152" s="6" t="s">
        <v>31</v>
      </c>
      <c r="X152" s="6" t="s">
        <v>308</v>
      </c>
    </row>
    <row r="153" spans="1:24" ht="17.25" customHeight="1">
      <c r="A153" s="2">
        <v>151</v>
      </c>
      <c r="B153" s="5">
        <v>260</v>
      </c>
      <c r="C153" s="6" t="s">
        <v>461</v>
      </c>
      <c r="D153" s="6" t="s">
        <v>447</v>
      </c>
      <c r="E153" s="6" t="str">
        <f>VLOOKUP($D153,date!$B$2:$E$376,2,FALSE)</f>
        <v>10.1016/j.tetlet.2008.05.008</v>
      </c>
      <c r="F153" s="6">
        <f>VLOOKUP($D153,date!$B$2:$E$376,3,FALSE)</f>
        <v>7</v>
      </c>
      <c r="G153" s="6">
        <f>VLOOKUP($D153,date!$B$2:$E$376,4,FALSE)</f>
        <v>2008</v>
      </c>
      <c r="H153" s="6" t="s">
        <v>462</v>
      </c>
      <c r="I153" s="6" t="s">
        <v>23</v>
      </c>
      <c r="J153" s="6" t="s">
        <v>453</v>
      </c>
      <c r="K153" s="6" t="s">
        <v>25</v>
      </c>
      <c r="L153" s="6" t="s">
        <v>305</v>
      </c>
      <c r="M153" s="6" t="s">
        <v>306</v>
      </c>
      <c r="N153" s="6" t="s">
        <v>449</v>
      </c>
      <c r="O153" s="6" t="s">
        <v>23</v>
      </c>
      <c r="P153" s="5">
        <v>5</v>
      </c>
      <c r="Q153" s="6" t="s">
        <v>322</v>
      </c>
      <c r="R153" s="5">
        <v>60</v>
      </c>
      <c r="S153" s="5">
        <v>24</v>
      </c>
      <c r="T153" s="5">
        <v>80</v>
      </c>
      <c r="U153" s="6" t="s">
        <v>23</v>
      </c>
      <c r="V153" s="6" t="s">
        <v>23</v>
      </c>
      <c r="W153" s="6" t="s">
        <v>31</v>
      </c>
      <c r="X153" s="6" t="s">
        <v>308</v>
      </c>
    </row>
    <row r="154" spans="1:24" ht="17.25" customHeight="1">
      <c r="A154" s="2">
        <v>152</v>
      </c>
      <c r="B154" s="5">
        <v>261</v>
      </c>
      <c r="C154" s="6" t="s">
        <v>463</v>
      </c>
      <c r="D154" s="6" t="s">
        <v>447</v>
      </c>
      <c r="E154" s="6" t="str">
        <f>VLOOKUP($D154,date!$B$2:$E$376,2,FALSE)</f>
        <v>10.1016/j.tetlet.2008.05.008</v>
      </c>
      <c r="F154" s="6">
        <f>VLOOKUP($D154,date!$B$2:$E$376,3,FALSE)</f>
        <v>7</v>
      </c>
      <c r="G154" s="6">
        <f>VLOOKUP($D154,date!$B$2:$E$376,4,FALSE)</f>
        <v>2008</v>
      </c>
      <c r="H154" s="6" t="s">
        <v>464</v>
      </c>
      <c r="I154" s="6" t="s">
        <v>23</v>
      </c>
      <c r="J154" s="6" t="s">
        <v>453</v>
      </c>
      <c r="K154" s="6" t="s">
        <v>25</v>
      </c>
      <c r="L154" s="6" t="s">
        <v>305</v>
      </c>
      <c r="M154" s="6" t="s">
        <v>306</v>
      </c>
      <c r="N154" s="6" t="s">
        <v>449</v>
      </c>
      <c r="O154" s="6" t="s">
        <v>23</v>
      </c>
      <c r="P154" s="5">
        <v>5</v>
      </c>
      <c r="Q154" s="6" t="s">
        <v>322</v>
      </c>
      <c r="R154" s="5">
        <v>60</v>
      </c>
      <c r="S154" s="5">
        <v>24</v>
      </c>
      <c r="T154" s="5">
        <v>76</v>
      </c>
      <c r="U154" s="6" t="s">
        <v>23</v>
      </c>
      <c r="V154" s="6" t="s">
        <v>23</v>
      </c>
      <c r="W154" s="6" t="s">
        <v>31</v>
      </c>
      <c r="X154" s="6" t="s">
        <v>308</v>
      </c>
    </row>
    <row r="155" spans="1:24" ht="17.25" customHeight="1">
      <c r="A155" s="2">
        <v>153</v>
      </c>
      <c r="B155" s="5">
        <v>262</v>
      </c>
      <c r="C155" s="6" t="s">
        <v>465</v>
      </c>
      <c r="D155" s="6" t="s">
        <v>447</v>
      </c>
      <c r="E155" s="6" t="str">
        <f>VLOOKUP($D155,date!$B$2:$E$376,2,FALSE)</f>
        <v>10.1016/j.tetlet.2008.05.008</v>
      </c>
      <c r="F155" s="6">
        <f>VLOOKUP($D155,date!$B$2:$E$376,3,FALSE)</f>
        <v>7</v>
      </c>
      <c r="G155" s="6">
        <f>VLOOKUP($D155,date!$B$2:$E$376,4,FALSE)</f>
        <v>2008</v>
      </c>
      <c r="H155" s="6" t="s">
        <v>466</v>
      </c>
      <c r="I155" s="6" t="s">
        <v>23</v>
      </c>
      <c r="J155" s="6" t="s">
        <v>453</v>
      </c>
      <c r="K155" s="6" t="s">
        <v>25</v>
      </c>
      <c r="L155" s="6" t="s">
        <v>305</v>
      </c>
      <c r="M155" s="6" t="s">
        <v>306</v>
      </c>
      <c r="N155" s="6" t="s">
        <v>449</v>
      </c>
      <c r="O155" s="6" t="s">
        <v>23</v>
      </c>
      <c r="P155" s="5">
        <v>5</v>
      </c>
      <c r="Q155" s="6" t="s">
        <v>322</v>
      </c>
      <c r="R155" s="5">
        <v>60</v>
      </c>
      <c r="S155" s="5">
        <v>24</v>
      </c>
      <c r="T155" s="5">
        <v>67</v>
      </c>
      <c r="U155" s="6" t="s">
        <v>23</v>
      </c>
      <c r="V155" s="6" t="s">
        <v>23</v>
      </c>
      <c r="W155" s="6" t="s">
        <v>31</v>
      </c>
      <c r="X155" s="6" t="s">
        <v>308</v>
      </c>
    </row>
    <row r="156" spans="1:24" ht="17.25" customHeight="1">
      <c r="A156" s="2">
        <v>154</v>
      </c>
      <c r="B156" s="5">
        <v>263</v>
      </c>
      <c r="C156" s="6" t="s">
        <v>467</v>
      </c>
      <c r="D156" s="6" t="s">
        <v>447</v>
      </c>
      <c r="E156" s="6" t="str">
        <f>VLOOKUP($D156,date!$B$2:$E$376,2,FALSE)</f>
        <v>10.1016/j.tetlet.2008.05.008</v>
      </c>
      <c r="F156" s="6">
        <f>VLOOKUP($D156,date!$B$2:$E$376,3,FALSE)</f>
        <v>7</v>
      </c>
      <c r="G156" s="6">
        <f>VLOOKUP($D156,date!$B$2:$E$376,4,FALSE)</f>
        <v>2008</v>
      </c>
      <c r="H156" s="6" t="s">
        <v>468</v>
      </c>
      <c r="I156" s="6" t="s">
        <v>23</v>
      </c>
      <c r="J156" s="6" t="s">
        <v>453</v>
      </c>
      <c r="K156" s="6" t="s">
        <v>25</v>
      </c>
      <c r="L156" s="6" t="s">
        <v>305</v>
      </c>
      <c r="M156" s="6" t="s">
        <v>306</v>
      </c>
      <c r="N156" s="6" t="s">
        <v>449</v>
      </c>
      <c r="O156" s="6" t="s">
        <v>23</v>
      </c>
      <c r="P156" s="5">
        <v>5</v>
      </c>
      <c r="Q156" s="6" t="s">
        <v>322</v>
      </c>
      <c r="R156" s="5">
        <v>60</v>
      </c>
      <c r="S156" s="5">
        <v>24</v>
      </c>
      <c r="T156" s="5">
        <v>53</v>
      </c>
      <c r="U156" s="6" t="s">
        <v>23</v>
      </c>
      <c r="V156" s="6" t="s">
        <v>23</v>
      </c>
      <c r="W156" s="6" t="s">
        <v>31</v>
      </c>
      <c r="X156" s="6" t="s">
        <v>308</v>
      </c>
    </row>
    <row r="157" spans="1:24" ht="17.25" customHeight="1">
      <c r="A157" s="2">
        <v>155</v>
      </c>
      <c r="B157" s="5">
        <v>264</v>
      </c>
      <c r="C157" s="6" t="s">
        <v>469</v>
      </c>
      <c r="D157" s="6" t="s">
        <v>447</v>
      </c>
      <c r="E157" s="6" t="str">
        <f>VLOOKUP($D157,date!$B$2:$E$376,2,FALSE)</f>
        <v>10.1016/j.tetlet.2008.05.008</v>
      </c>
      <c r="F157" s="6">
        <f>VLOOKUP($D157,date!$B$2:$E$376,3,FALSE)</f>
        <v>7</v>
      </c>
      <c r="G157" s="6">
        <f>VLOOKUP($D157,date!$B$2:$E$376,4,FALSE)</f>
        <v>2008</v>
      </c>
      <c r="H157" s="6" t="s">
        <v>470</v>
      </c>
      <c r="I157" s="6" t="s">
        <v>23</v>
      </c>
      <c r="J157" s="6" t="s">
        <v>453</v>
      </c>
      <c r="K157" s="6" t="s">
        <v>25</v>
      </c>
      <c r="L157" s="6" t="s">
        <v>305</v>
      </c>
      <c r="M157" s="6" t="s">
        <v>306</v>
      </c>
      <c r="N157" s="6" t="s">
        <v>449</v>
      </c>
      <c r="O157" s="6" t="s">
        <v>23</v>
      </c>
      <c r="P157" s="5">
        <v>5</v>
      </c>
      <c r="Q157" s="6" t="s">
        <v>322</v>
      </c>
      <c r="R157" s="5">
        <v>60</v>
      </c>
      <c r="S157" s="5">
        <v>24</v>
      </c>
      <c r="T157" s="5">
        <v>78</v>
      </c>
      <c r="U157" s="6" t="s">
        <v>23</v>
      </c>
      <c r="V157" s="6" t="s">
        <v>23</v>
      </c>
      <c r="W157" s="6" t="s">
        <v>31</v>
      </c>
      <c r="X157" s="6" t="s">
        <v>308</v>
      </c>
    </row>
    <row r="158" spans="1:24" ht="17.25" customHeight="1">
      <c r="A158" s="2">
        <v>156</v>
      </c>
      <c r="B158" s="5">
        <v>265</v>
      </c>
      <c r="C158" s="6" t="s">
        <v>471</v>
      </c>
      <c r="D158" s="6" t="s">
        <v>447</v>
      </c>
      <c r="E158" s="6" t="str">
        <f>VLOOKUP($D158,date!$B$2:$E$376,2,FALSE)</f>
        <v>10.1016/j.tetlet.2008.05.008</v>
      </c>
      <c r="F158" s="6">
        <f>VLOOKUP($D158,date!$B$2:$E$376,3,FALSE)</f>
        <v>7</v>
      </c>
      <c r="G158" s="6">
        <f>VLOOKUP($D158,date!$B$2:$E$376,4,FALSE)</f>
        <v>2008</v>
      </c>
      <c r="H158" s="6" t="s">
        <v>472</v>
      </c>
      <c r="I158" s="6" t="s">
        <v>23</v>
      </c>
      <c r="J158" s="6" t="s">
        <v>453</v>
      </c>
      <c r="K158" s="6" t="s">
        <v>25</v>
      </c>
      <c r="L158" s="6" t="s">
        <v>305</v>
      </c>
      <c r="M158" s="6" t="s">
        <v>306</v>
      </c>
      <c r="N158" s="6" t="s">
        <v>449</v>
      </c>
      <c r="O158" s="6" t="s">
        <v>23</v>
      </c>
      <c r="P158" s="5">
        <v>5</v>
      </c>
      <c r="Q158" s="6" t="s">
        <v>322</v>
      </c>
      <c r="R158" s="5">
        <v>60</v>
      </c>
      <c r="S158" s="5">
        <v>24</v>
      </c>
      <c r="T158" s="5">
        <v>60</v>
      </c>
      <c r="U158" s="6" t="s">
        <v>23</v>
      </c>
      <c r="V158" s="6" t="s">
        <v>23</v>
      </c>
      <c r="W158" s="6" t="s">
        <v>31</v>
      </c>
      <c r="X158" s="6" t="s">
        <v>308</v>
      </c>
    </row>
    <row r="159" spans="1:24" ht="17.25" customHeight="1">
      <c r="A159" s="2">
        <v>157</v>
      </c>
      <c r="B159" s="5">
        <v>266</v>
      </c>
      <c r="C159" s="6" t="s">
        <v>473</v>
      </c>
      <c r="D159" s="6" t="s">
        <v>447</v>
      </c>
      <c r="E159" s="6" t="str">
        <f>VLOOKUP($D159,date!$B$2:$E$376,2,FALSE)</f>
        <v>10.1016/j.tetlet.2008.05.008</v>
      </c>
      <c r="F159" s="6">
        <f>VLOOKUP($D159,date!$B$2:$E$376,3,FALSE)</f>
        <v>7</v>
      </c>
      <c r="G159" s="6">
        <f>VLOOKUP($D159,date!$B$2:$E$376,4,FALSE)</f>
        <v>2008</v>
      </c>
      <c r="H159" s="6" t="s">
        <v>448</v>
      </c>
      <c r="I159" s="6" t="s">
        <v>23</v>
      </c>
      <c r="J159" s="6" t="s">
        <v>453</v>
      </c>
      <c r="K159" s="6" t="s">
        <v>25</v>
      </c>
      <c r="L159" s="6" t="s">
        <v>305</v>
      </c>
      <c r="M159" s="6" t="s">
        <v>306</v>
      </c>
      <c r="N159" s="6" t="s">
        <v>449</v>
      </c>
      <c r="O159" s="6" t="s">
        <v>23</v>
      </c>
      <c r="P159" s="5">
        <v>5</v>
      </c>
      <c r="Q159" s="6" t="s">
        <v>322</v>
      </c>
      <c r="R159" s="5">
        <v>80</v>
      </c>
      <c r="S159" s="5">
        <v>24</v>
      </c>
      <c r="T159" s="5">
        <v>100</v>
      </c>
      <c r="U159" s="6" t="s">
        <v>23</v>
      </c>
      <c r="V159" s="6" t="s">
        <v>23</v>
      </c>
      <c r="W159" s="6" t="s">
        <v>31</v>
      </c>
      <c r="X159" s="6" t="s">
        <v>308</v>
      </c>
    </row>
    <row r="160" spans="1:24" ht="17.25" customHeight="1">
      <c r="A160" s="2">
        <v>158</v>
      </c>
      <c r="B160" s="5">
        <v>267</v>
      </c>
      <c r="C160" s="6" t="s">
        <v>474</v>
      </c>
      <c r="D160" s="6" t="s">
        <v>447</v>
      </c>
      <c r="E160" s="6" t="str">
        <f>VLOOKUP($D160,date!$B$2:$E$376,2,FALSE)</f>
        <v>10.1016/j.tetlet.2008.05.008</v>
      </c>
      <c r="F160" s="6">
        <f>VLOOKUP($D160,date!$B$2:$E$376,3,FALSE)</f>
        <v>7</v>
      </c>
      <c r="G160" s="6">
        <f>VLOOKUP($D160,date!$B$2:$E$376,4,FALSE)</f>
        <v>2008</v>
      </c>
      <c r="H160" s="6" t="s">
        <v>448</v>
      </c>
      <c r="I160" s="6" t="s">
        <v>23</v>
      </c>
      <c r="J160" s="6" t="s">
        <v>453</v>
      </c>
      <c r="K160" s="6" t="s">
        <v>25</v>
      </c>
      <c r="L160" s="6" t="s">
        <v>305</v>
      </c>
      <c r="M160" s="6" t="s">
        <v>306</v>
      </c>
      <c r="N160" s="6" t="s">
        <v>449</v>
      </c>
      <c r="O160" s="6" t="s">
        <v>23</v>
      </c>
      <c r="P160" s="5">
        <v>10</v>
      </c>
      <c r="Q160" s="6" t="s">
        <v>322</v>
      </c>
      <c r="R160" s="5">
        <v>45</v>
      </c>
      <c r="S160" s="5">
        <v>24</v>
      </c>
      <c r="T160" s="5">
        <v>84</v>
      </c>
      <c r="U160" s="6" t="s">
        <v>23</v>
      </c>
      <c r="V160" s="6" t="s">
        <v>23</v>
      </c>
      <c r="W160" s="6" t="s">
        <v>31</v>
      </c>
      <c r="X160" s="6" t="s">
        <v>308</v>
      </c>
    </row>
    <row r="161" spans="1:24" ht="17.25" customHeight="1">
      <c r="A161" s="2">
        <v>159</v>
      </c>
      <c r="B161" s="5">
        <v>268</v>
      </c>
      <c r="C161" s="6" t="s">
        <v>475</v>
      </c>
      <c r="D161" s="6" t="s">
        <v>447</v>
      </c>
      <c r="E161" s="6" t="str">
        <f>VLOOKUP($D161,date!$B$2:$E$376,2,FALSE)</f>
        <v>10.1016/j.tetlet.2008.05.008</v>
      </c>
      <c r="F161" s="6">
        <f>VLOOKUP($D161,date!$B$2:$E$376,3,FALSE)</f>
        <v>7</v>
      </c>
      <c r="G161" s="6">
        <f>VLOOKUP($D161,date!$B$2:$E$376,4,FALSE)</f>
        <v>2008</v>
      </c>
      <c r="H161" s="6" t="s">
        <v>448</v>
      </c>
      <c r="I161" s="6" t="s">
        <v>23</v>
      </c>
      <c r="J161" s="6" t="s">
        <v>453</v>
      </c>
      <c r="K161" s="6" t="s">
        <v>40</v>
      </c>
      <c r="L161" s="6" t="s">
        <v>305</v>
      </c>
      <c r="M161" s="6" t="s">
        <v>306</v>
      </c>
      <c r="N161" s="6" t="s">
        <v>449</v>
      </c>
      <c r="O161" s="6" t="s">
        <v>23</v>
      </c>
      <c r="P161" s="5">
        <v>10</v>
      </c>
      <c r="Q161" s="6" t="s">
        <v>322</v>
      </c>
      <c r="R161" s="5">
        <v>110</v>
      </c>
      <c r="S161" s="5">
        <v>24</v>
      </c>
      <c r="T161" s="5">
        <v>90</v>
      </c>
      <c r="U161" s="6" t="s">
        <v>23</v>
      </c>
      <c r="V161" s="6" t="s">
        <v>23</v>
      </c>
      <c r="W161" s="6" t="s">
        <v>31</v>
      </c>
      <c r="X161" s="6" t="s">
        <v>345</v>
      </c>
    </row>
    <row r="162" spans="1:24" ht="17.25" customHeight="1">
      <c r="A162" s="2">
        <v>160</v>
      </c>
      <c r="B162" s="5">
        <v>269</v>
      </c>
      <c r="C162" s="6" t="s">
        <v>476</v>
      </c>
      <c r="D162" s="6" t="s">
        <v>447</v>
      </c>
      <c r="E162" s="6" t="str">
        <f>VLOOKUP($D162,date!$B$2:$E$376,2,FALSE)</f>
        <v>10.1016/j.tetlet.2008.05.008</v>
      </c>
      <c r="F162" s="6">
        <f>VLOOKUP($D162,date!$B$2:$E$376,3,FALSE)</f>
        <v>7</v>
      </c>
      <c r="G162" s="6">
        <f>VLOOKUP($D162,date!$B$2:$E$376,4,FALSE)</f>
        <v>2008</v>
      </c>
      <c r="H162" s="6" t="s">
        <v>448</v>
      </c>
      <c r="I162" s="6" t="s">
        <v>23</v>
      </c>
      <c r="J162" s="6" t="s">
        <v>453</v>
      </c>
      <c r="K162" s="6" t="s">
        <v>477</v>
      </c>
      <c r="L162" s="6" t="s">
        <v>305</v>
      </c>
      <c r="M162" s="6" t="s">
        <v>478</v>
      </c>
      <c r="N162" s="6" t="s">
        <v>449</v>
      </c>
      <c r="O162" s="6" t="s">
        <v>23</v>
      </c>
      <c r="P162" s="5">
        <v>10</v>
      </c>
      <c r="Q162" s="6" t="s">
        <v>322</v>
      </c>
      <c r="R162" s="5">
        <v>130</v>
      </c>
      <c r="S162" s="5">
        <v>24</v>
      </c>
      <c r="T162" s="5">
        <v>92</v>
      </c>
      <c r="U162" s="6" t="s">
        <v>23</v>
      </c>
      <c r="V162" s="6" t="s">
        <v>23</v>
      </c>
      <c r="W162" s="6" t="s">
        <v>31</v>
      </c>
      <c r="X162" s="6" t="s">
        <v>479</v>
      </c>
    </row>
    <row r="163" spans="1:24" ht="17.25" customHeight="1">
      <c r="A163" s="2">
        <v>161</v>
      </c>
      <c r="B163" s="5">
        <v>270</v>
      </c>
      <c r="C163" s="6" t="s">
        <v>480</v>
      </c>
      <c r="D163" s="6" t="s">
        <v>447</v>
      </c>
      <c r="E163" s="6" t="str">
        <f>VLOOKUP($D163,date!$B$2:$E$376,2,FALSE)</f>
        <v>10.1016/j.tetlet.2008.05.008</v>
      </c>
      <c r="F163" s="6">
        <f>VLOOKUP($D163,date!$B$2:$E$376,3,FALSE)</f>
        <v>7</v>
      </c>
      <c r="G163" s="6">
        <f>VLOOKUP($D163,date!$B$2:$E$376,4,FALSE)</f>
        <v>2008</v>
      </c>
      <c r="H163" s="6" t="s">
        <v>448</v>
      </c>
      <c r="I163" s="6" t="s">
        <v>23</v>
      </c>
      <c r="J163" s="6" t="s">
        <v>453</v>
      </c>
      <c r="K163" s="6" t="s">
        <v>481</v>
      </c>
      <c r="L163" s="6" t="s">
        <v>305</v>
      </c>
      <c r="M163" s="6" t="s">
        <v>331</v>
      </c>
      <c r="N163" s="6" t="s">
        <v>449</v>
      </c>
      <c r="O163" s="6" t="s">
        <v>23</v>
      </c>
      <c r="P163" s="5">
        <v>10</v>
      </c>
      <c r="Q163" s="6" t="s">
        <v>322</v>
      </c>
      <c r="R163" s="5">
        <v>130</v>
      </c>
      <c r="S163" s="5">
        <v>24</v>
      </c>
      <c r="T163" s="5">
        <v>99</v>
      </c>
      <c r="U163" s="6" t="s">
        <v>23</v>
      </c>
      <c r="V163" s="6" t="s">
        <v>23</v>
      </c>
      <c r="W163" s="6" t="s">
        <v>31</v>
      </c>
      <c r="X163" s="6" t="s">
        <v>482</v>
      </c>
    </row>
    <row r="164" spans="1:24" ht="17.25" customHeight="1">
      <c r="A164" s="2">
        <v>162</v>
      </c>
      <c r="B164" s="5">
        <v>271</v>
      </c>
      <c r="C164" s="6" t="s">
        <v>483</v>
      </c>
      <c r="D164" s="6" t="s">
        <v>447</v>
      </c>
      <c r="E164" s="6" t="str">
        <f>VLOOKUP($D164,date!$B$2:$E$376,2,FALSE)</f>
        <v>10.1016/j.tetlet.2008.05.008</v>
      </c>
      <c r="F164" s="6">
        <f>VLOOKUP($D164,date!$B$2:$E$376,3,FALSE)</f>
        <v>7</v>
      </c>
      <c r="G164" s="6">
        <f>VLOOKUP($D164,date!$B$2:$E$376,4,FALSE)</f>
        <v>2008</v>
      </c>
      <c r="H164" s="6" t="s">
        <v>448</v>
      </c>
      <c r="I164" s="6" t="s">
        <v>23</v>
      </c>
      <c r="J164" s="6" t="s">
        <v>453</v>
      </c>
      <c r="K164" s="6" t="s">
        <v>76</v>
      </c>
      <c r="L164" s="6" t="s">
        <v>305</v>
      </c>
      <c r="M164" s="6" t="s">
        <v>354</v>
      </c>
      <c r="N164" s="6" t="s">
        <v>449</v>
      </c>
      <c r="O164" s="6" t="s">
        <v>23</v>
      </c>
      <c r="P164" s="5">
        <v>10</v>
      </c>
      <c r="Q164" s="6" t="s">
        <v>322</v>
      </c>
      <c r="R164" s="5">
        <v>130</v>
      </c>
      <c r="S164" s="5">
        <v>24</v>
      </c>
      <c r="T164" s="5">
        <v>92</v>
      </c>
      <c r="U164" s="6" t="s">
        <v>23</v>
      </c>
      <c r="V164" s="6" t="s">
        <v>23</v>
      </c>
      <c r="W164" s="6" t="s">
        <v>31</v>
      </c>
      <c r="X164" s="6" t="s">
        <v>484</v>
      </c>
    </row>
    <row r="165" spans="1:24" ht="17.25" customHeight="1">
      <c r="A165" s="2">
        <v>163</v>
      </c>
      <c r="B165" s="5">
        <v>272</v>
      </c>
      <c r="C165" s="6" t="s">
        <v>485</v>
      </c>
      <c r="D165" s="6" t="s">
        <v>447</v>
      </c>
      <c r="E165" s="6" t="str">
        <f>VLOOKUP($D165,date!$B$2:$E$376,2,FALSE)</f>
        <v>10.1016/j.tetlet.2008.05.008</v>
      </c>
      <c r="F165" s="6">
        <f>VLOOKUP($D165,date!$B$2:$E$376,3,FALSE)</f>
        <v>7</v>
      </c>
      <c r="G165" s="6">
        <f>VLOOKUP($D165,date!$B$2:$E$376,4,FALSE)</f>
        <v>2008</v>
      </c>
      <c r="H165" s="6" t="s">
        <v>448</v>
      </c>
      <c r="I165" s="6" t="s">
        <v>23</v>
      </c>
      <c r="J165" s="6" t="s">
        <v>453</v>
      </c>
      <c r="K165" s="6" t="s">
        <v>350</v>
      </c>
      <c r="L165" s="6" t="s">
        <v>305</v>
      </c>
      <c r="M165" s="6" t="s">
        <v>351</v>
      </c>
      <c r="N165" s="6" t="s">
        <v>449</v>
      </c>
      <c r="O165" s="6" t="s">
        <v>23</v>
      </c>
      <c r="P165" s="5">
        <v>10</v>
      </c>
      <c r="Q165" s="6" t="s">
        <v>322</v>
      </c>
      <c r="R165" s="5">
        <v>130</v>
      </c>
      <c r="S165" s="5">
        <v>24</v>
      </c>
      <c r="T165" s="5">
        <v>91</v>
      </c>
      <c r="U165" s="6" t="s">
        <v>23</v>
      </c>
      <c r="V165" s="6" t="s">
        <v>23</v>
      </c>
      <c r="W165" s="6" t="s">
        <v>31</v>
      </c>
      <c r="X165" s="6" t="s">
        <v>352</v>
      </c>
    </row>
    <row r="166" spans="1:24" ht="17.25" customHeight="1">
      <c r="A166" s="2">
        <v>164</v>
      </c>
      <c r="B166" s="5">
        <v>273</v>
      </c>
      <c r="C166" s="6" t="s">
        <v>486</v>
      </c>
      <c r="D166" s="6" t="s">
        <v>447</v>
      </c>
      <c r="E166" s="6" t="str">
        <f>VLOOKUP($D166,date!$B$2:$E$376,2,FALSE)</f>
        <v>10.1016/j.tetlet.2008.05.008</v>
      </c>
      <c r="F166" s="6">
        <f>VLOOKUP($D166,date!$B$2:$E$376,3,FALSE)</f>
        <v>7</v>
      </c>
      <c r="G166" s="6">
        <f>VLOOKUP($D166,date!$B$2:$E$376,4,FALSE)</f>
        <v>2008</v>
      </c>
      <c r="H166" s="6" t="s">
        <v>448</v>
      </c>
      <c r="I166" s="6" t="s">
        <v>23</v>
      </c>
      <c r="J166" s="6" t="s">
        <v>453</v>
      </c>
      <c r="K166" s="6" t="s">
        <v>487</v>
      </c>
      <c r="L166" s="6" t="s">
        <v>305</v>
      </c>
      <c r="M166" s="6" t="s">
        <v>335</v>
      </c>
      <c r="N166" s="6" t="s">
        <v>449</v>
      </c>
      <c r="O166" s="6" t="s">
        <v>23</v>
      </c>
      <c r="P166" s="5">
        <v>10</v>
      </c>
      <c r="Q166" s="6" t="s">
        <v>322</v>
      </c>
      <c r="R166" s="5">
        <v>130</v>
      </c>
      <c r="S166" s="5">
        <v>24</v>
      </c>
      <c r="T166" s="5">
        <v>73</v>
      </c>
      <c r="U166" s="6" t="s">
        <v>23</v>
      </c>
      <c r="V166" s="6" t="s">
        <v>23</v>
      </c>
      <c r="W166" s="6" t="s">
        <v>31</v>
      </c>
      <c r="X166" s="6" t="s">
        <v>488</v>
      </c>
    </row>
    <row r="167" spans="1:24" ht="17.25" customHeight="1">
      <c r="A167" s="2">
        <v>165</v>
      </c>
      <c r="B167" s="5">
        <v>274</v>
      </c>
      <c r="C167" s="6" t="s">
        <v>489</v>
      </c>
      <c r="D167" s="6" t="s">
        <v>447</v>
      </c>
      <c r="E167" s="6" t="str">
        <f>VLOOKUP($D167,date!$B$2:$E$376,2,FALSE)</f>
        <v>10.1016/j.tetlet.2008.05.008</v>
      </c>
      <c r="F167" s="6">
        <f>VLOOKUP($D167,date!$B$2:$E$376,3,FALSE)</f>
        <v>7</v>
      </c>
      <c r="G167" s="6">
        <f>VLOOKUP($D167,date!$B$2:$E$376,4,FALSE)</f>
        <v>2008</v>
      </c>
      <c r="H167" s="6" t="s">
        <v>448</v>
      </c>
      <c r="I167" s="6" t="s">
        <v>23</v>
      </c>
      <c r="J167" s="6" t="s">
        <v>453</v>
      </c>
      <c r="K167" s="6" t="s">
        <v>143</v>
      </c>
      <c r="L167" s="6" t="s">
        <v>305</v>
      </c>
      <c r="M167" s="6" t="s">
        <v>376</v>
      </c>
      <c r="N167" s="6" t="s">
        <v>449</v>
      </c>
      <c r="O167" s="6" t="s">
        <v>23</v>
      </c>
      <c r="P167" s="5">
        <v>10</v>
      </c>
      <c r="Q167" s="6" t="s">
        <v>322</v>
      </c>
      <c r="R167" s="5">
        <v>130</v>
      </c>
      <c r="S167" s="5">
        <v>24</v>
      </c>
      <c r="T167" s="5">
        <v>95</v>
      </c>
      <c r="U167" s="6" t="s">
        <v>23</v>
      </c>
      <c r="V167" s="6" t="s">
        <v>23</v>
      </c>
      <c r="W167" s="6" t="s">
        <v>31</v>
      </c>
      <c r="X167" s="6" t="s">
        <v>377</v>
      </c>
    </row>
    <row r="168" spans="1:24" ht="17.25" customHeight="1">
      <c r="A168" s="2">
        <v>166</v>
      </c>
      <c r="B168" s="5">
        <v>275</v>
      </c>
      <c r="C168" s="6" t="s">
        <v>490</v>
      </c>
      <c r="D168" s="6" t="s">
        <v>447</v>
      </c>
      <c r="E168" s="6" t="str">
        <f>VLOOKUP($D168,date!$B$2:$E$376,2,FALSE)</f>
        <v>10.1016/j.tetlet.2008.05.008</v>
      </c>
      <c r="F168" s="6">
        <f>VLOOKUP($D168,date!$B$2:$E$376,3,FALSE)</f>
        <v>7</v>
      </c>
      <c r="G168" s="6">
        <f>VLOOKUP($D168,date!$B$2:$E$376,4,FALSE)</f>
        <v>2008</v>
      </c>
      <c r="H168" s="6" t="s">
        <v>448</v>
      </c>
      <c r="I168" s="6" t="s">
        <v>23</v>
      </c>
      <c r="J168" s="6" t="s">
        <v>453</v>
      </c>
      <c r="K168" s="6" t="s">
        <v>379</v>
      </c>
      <c r="L168" s="6" t="s">
        <v>305</v>
      </c>
      <c r="M168" s="6" t="s">
        <v>380</v>
      </c>
      <c r="N168" s="6" t="s">
        <v>449</v>
      </c>
      <c r="O168" s="6" t="s">
        <v>23</v>
      </c>
      <c r="P168" s="5">
        <v>10</v>
      </c>
      <c r="Q168" s="6" t="s">
        <v>322</v>
      </c>
      <c r="R168" s="5">
        <v>130</v>
      </c>
      <c r="S168" s="5">
        <v>24</v>
      </c>
      <c r="T168" s="5">
        <v>85</v>
      </c>
      <c r="U168" s="6" t="s">
        <v>23</v>
      </c>
      <c r="V168" s="6" t="s">
        <v>23</v>
      </c>
      <c r="W168" s="6" t="s">
        <v>31</v>
      </c>
      <c r="X168" s="6" t="s">
        <v>381</v>
      </c>
    </row>
    <row r="169" spans="1:24" ht="17.25" customHeight="1">
      <c r="A169" s="2">
        <v>167</v>
      </c>
      <c r="B169" s="5">
        <v>276</v>
      </c>
      <c r="C169" s="6" t="s">
        <v>491</v>
      </c>
      <c r="D169" s="6" t="s">
        <v>447</v>
      </c>
      <c r="E169" s="6" t="str">
        <f>VLOOKUP($D169,date!$B$2:$E$376,2,FALSE)</f>
        <v>10.1016/j.tetlet.2008.05.008</v>
      </c>
      <c r="F169" s="6">
        <f>VLOOKUP($D169,date!$B$2:$E$376,3,FALSE)</f>
        <v>7</v>
      </c>
      <c r="G169" s="6">
        <f>VLOOKUP($D169,date!$B$2:$E$376,4,FALSE)</f>
        <v>2008</v>
      </c>
      <c r="H169" s="6" t="s">
        <v>448</v>
      </c>
      <c r="I169" s="6" t="s">
        <v>23</v>
      </c>
      <c r="J169" s="6" t="s">
        <v>453</v>
      </c>
      <c r="K169" s="6" t="s">
        <v>492</v>
      </c>
      <c r="L169" s="6" t="s">
        <v>305</v>
      </c>
      <c r="M169" s="6" t="s">
        <v>493</v>
      </c>
      <c r="N169" s="6" t="s">
        <v>449</v>
      </c>
      <c r="O169" s="6" t="s">
        <v>23</v>
      </c>
      <c r="P169" s="5">
        <v>10</v>
      </c>
      <c r="Q169" s="6" t="s">
        <v>322</v>
      </c>
      <c r="R169" s="5">
        <v>130</v>
      </c>
      <c r="S169" s="5">
        <v>24</v>
      </c>
      <c r="T169" s="5">
        <v>98</v>
      </c>
      <c r="U169" s="6" t="s">
        <v>23</v>
      </c>
      <c r="V169" s="6" t="s">
        <v>23</v>
      </c>
      <c r="W169" s="6" t="s">
        <v>31</v>
      </c>
      <c r="X169" s="6" t="s">
        <v>494</v>
      </c>
    </row>
    <row r="170" spans="1:24" ht="17.25" customHeight="1">
      <c r="A170" s="2">
        <v>168</v>
      </c>
      <c r="B170" s="5">
        <v>277</v>
      </c>
      <c r="C170" s="6" t="s">
        <v>495</v>
      </c>
      <c r="D170" s="6" t="s">
        <v>447</v>
      </c>
      <c r="E170" s="6" t="str">
        <f>VLOOKUP($D170,date!$B$2:$E$376,2,FALSE)</f>
        <v>10.1016/j.tetlet.2008.05.008</v>
      </c>
      <c r="F170" s="6">
        <f>VLOOKUP($D170,date!$B$2:$E$376,3,FALSE)</f>
        <v>7</v>
      </c>
      <c r="G170" s="6">
        <f>VLOOKUP($D170,date!$B$2:$E$376,4,FALSE)</f>
        <v>2008</v>
      </c>
      <c r="H170" s="6" t="s">
        <v>448</v>
      </c>
      <c r="I170" s="6" t="s">
        <v>23</v>
      </c>
      <c r="J170" s="6" t="s">
        <v>453</v>
      </c>
      <c r="K170" s="6" t="s">
        <v>139</v>
      </c>
      <c r="L170" s="6" t="s">
        <v>305</v>
      </c>
      <c r="M170" s="6" t="s">
        <v>496</v>
      </c>
      <c r="N170" s="6" t="s">
        <v>449</v>
      </c>
      <c r="O170" s="6" t="s">
        <v>23</v>
      </c>
      <c r="P170" s="5">
        <v>10</v>
      </c>
      <c r="Q170" s="6" t="s">
        <v>322</v>
      </c>
      <c r="R170" s="5">
        <v>130</v>
      </c>
      <c r="S170" s="5">
        <v>24</v>
      </c>
      <c r="T170" s="5">
        <v>95</v>
      </c>
      <c r="U170" s="6" t="s">
        <v>23</v>
      </c>
      <c r="V170" s="6" t="s">
        <v>23</v>
      </c>
      <c r="W170" s="6" t="s">
        <v>31</v>
      </c>
      <c r="X170" s="6" t="s">
        <v>497</v>
      </c>
    </row>
    <row r="171" spans="1:24" ht="17.25" customHeight="1">
      <c r="A171" s="2">
        <v>169</v>
      </c>
      <c r="B171" s="5">
        <v>278</v>
      </c>
      <c r="C171" s="6" t="s">
        <v>498</v>
      </c>
      <c r="D171" s="6" t="s">
        <v>447</v>
      </c>
      <c r="E171" s="6" t="str">
        <f>VLOOKUP($D171,date!$B$2:$E$376,2,FALSE)</f>
        <v>10.1016/j.tetlet.2008.05.008</v>
      </c>
      <c r="F171" s="6">
        <f>VLOOKUP($D171,date!$B$2:$E$376,3,FALSE)</f>
        <v>7</v>
      </c>
      <c r="G171" s="6">
        <f>VLOOKUP($D171,date!$B$2:$E$376,4,FALSE)</f>
        <v>2008</v>
      </c>
      <c r="H171" s="6" t="s">
        <v>448</v>
      </c>
      <c r="I171" s="6" t="s">
        <v>23</v>
      </c>
      <c r="J171" s="6" t="s">
        <v>453</v>
      </c>
      <c r="K171" s="6" t="s">
        <v>499</v>
      </c>
      <c r="L171" s="6" t="s">
        <v>305</v>
      </c>
      <c r="M171" s="6" t="s">
        <v>500</v>
      </c>
      <c r="N171" s="6" t="s">
        <v>449</v>
      </c>
      <c r="O171" s="6" t="s">
        <v>23</v>
      </c>
      <c r="P171" s="5">
        <v>10</v>
      </c>
      <c r="Q171" s="6" t="s">
        <v>322</v>
      </c>
      <c r="R171" s="5">
        <v>130</v>
      </c>
      <c r="S171" s="5">
        <v>24</v>
      </c>
      <c r="T171" s="5">
        <v>53</v>
      </c>
      <c r="U171" s="6" t="s">
        <v>23</v>
      </c>
      <c r="V171" s="6" t="s">
        <v>23</v>
      </c>
      <c r="W171" s="6" t="s">
        <v>31</v>
      </c>
      <c r="X171" s="6" t="s">
        <v>501</v>
      </c>
    </row>
    <row r="172" spans="1:24" ht="17.25" customHeight="1">
      <c r="A172" s="2">
        <v>170</v>
      </c>
      <c r="B172" s="5">
        <v>279</v>
      </c>
      <c r="C172" s="6" t="s">
        <v>502</v>
      </c>
      <c r="D172" s="6" t="s">
        <v>447</v>
      </c>
      <c r="E172" s="6" t="str">
        <f>VLOOKUP($D172,date!$B$2:$E$376,2,FALSE)</f>
        <v>10.1016/j.tetlet.2008.05.008</v>
      </c>
      <c r="F172" s="6">
        <f>VLOOKUP($D172,date!$B$2:$E$376,3,FALSE)</f>
        <v>7</v>
      </c>
      <c r="G172" s="6">
        <f>VLOOKUP($D172,date!$B$2:$E$376,4,FALSE)</f>
        <v>2008</v>
      </c>
      <c r="H172" s="6" t="s">
        <v>448</v>
      </c>
      <c r="I172" s="6" t="s">
        <v>23</v>
      </c>
      <c r="J172" s="6" t="s">
        <v>453</v>
      </c>
      <c r="K172" s="6" t="s">
        <v>499</v>
      </c>
      <c r="L172" s="6" t="s">
        <v>305</v>
      </c>
      <c r="M172" s="6" t="s">
        <v>500</v>
      </c>
      <c r="N172" s="6" t="s">
        <v>181</v>
      </c>
      <c r="O172" s="6" t="s">
        <v>23</v>
      </c>
      <c r="P172" s="5">
        <v>10</v>
      </c>
      <c r="Q172" s="6" t="s">
        <v>322</v>
      </c>
      <c r="R172" s="5">
        <v>130</v>
      </c>
      <c r="S172" s="5">
        <v>24</v>
      </c>
      <c r="T172" s="5">
        <v>70</v>
      </c>
      <c r="U172" s="6" t="s">
        <v>23</v>
      </c>
      <c r="V172" s="6" t="s">
        <v>23</v>
      </c>
      <c r="W172" s="6" t="s">
        <v>31</v>
      </c>
      <c r="X172" s="6" t="s">
        <v>501</v>
      </c>
    </row>
    <row r="173" spans="1:24" ht="17.25" customHeight="1">
      <c r="A173" s="2">
        <v>171</v>
      </c>
      <c r="B173" s="5">
        <v>280</v>
      </c>
      <c r="C173" s="6" t="s">
        <v>503</v>
      </c>
      <c r="D173" s="6" t="s">
        <v>447</v>
      </c>
      <c r="E173" s="6" t="str">
        <f>VLOOKUP($D173,date!$B$2:$E$376,2,FALSE)</f>
        <v>10.1016/j.tetlet.2008.05.008</v>
      </c>
      <c r="F173" s="6">
        <f>VLOOKUP($D173,date!$B$2:$E$376,3,FALSE)</f>
        <v>7</v>
      </c>
      <c r="G173" s="6">
        <f>VLOOKUP($D173,date!$B$2:$E$376,4,FALSE)</f>
        <v>2008</v>
      </c>
      <c r="H173" s="6" t="s">
        <v>448</v>
      </c>
      <c r="I173" s="6" t="s">
        <v>23</v>
      </c>
      <c r="J173" s="6" t="s">
        <v>453</v>
      </c>
      <c r="K173" s="6" t="s">
        <v>298</v>
      </c>
      <c r="L173" s="6" t="s">
        <v>305</v>
      </c>
      <c r="M173" s="6" t="s">
        <v>369</v>
      </c>
      <c r="N173" s="6" t="s">
        <v>449</v>
      </c>
      <c r="O173" s="6" t="s">
        <v>23</v>
      </c>
      <c r="P173" s="5">
        <v>10</v>
      </c>
      <c r="Q173" s="6" t="s">
        <v>322</v>
      </c>
      <c r="R173" s="5">
        <v>130</v>
      </c>
      <c r="S173" s="5">
        <v>24</v>
      </c>
      <c r="T173" s="5">
        <v>57</v>
      </c>
      <c r="U173" s="6" t="s">
        <v>23</v>
      </c>
      <c r="V173" s="6" t="s">
        <v>23</v>
      </c>
      <c r="W173" s="6" t="s">
        <v>31</v>
      </c>
      <c r="X173" s="6" t="s">
        <v>370</v>
      </c>
    </row>
    <row r="174" spans="1:24" ht="17.25" customHeight="1">
      <c r="A174" s="2">
        <v>172</v>
      </c>
      <c r="B174" s="5">
        <v>281</v>
      </c>
      <c r="C174" s="6" t="s">
        <v>504</v>
      </c>
      <c r="D174" s="6" t="s">
        <v>447</v>
      </c>
      <c r="E174" s="6" t="str">
        <f>VLOOKUP($D174,date!$B$2:$E$376,2,FALSE)</f>
        <v>10.1016/j.tetlet.2008.05.008</v>
      </c>
      <c r="F174" s="6">
        <f>VLOOKUP($D174,date!$B$2:$E$376,3,FALSE)</f>
        <v>7</v>
      </c>
      <c r="G174" s="6">
        <f>VLOOKUP($D174,date!$B$2:$E$376,4,FALSE)</f>
        <v>2008</v>
      </c>
      <c r="H174" s="6" t="s">
        <v>448</v>
      </c>
      <c r="I174" s="6" t="s">
        <v>23</v>
      </c>
      <c r="J174" s="6" t="s">
        <v>453</v>
      </c>
      <c r="K174" s="6" t="s">
        <v>298</v>
      </c>
      <c r="L174" s="6" t="s">
        <v>305</v>
      </c>
      <c r="M174" s="6" t="s">
        <v>369</v>
      </c>
      <c r="N174" s="6" t="s">
        <v>181</v>
      </c>
      <c r="O174" s="6" t="s">
        <v>23</v>
      </c>
      <c r="P174" s="5">
        <v>10</v>
      </c>
      <c r="Q174" s="6" t="s">
        <v>322</v>
      </c>
      <c r="R174" s="5">
        <v>130</v>
      </c>
      <c r="S174" s="5">
        <v>24</v>
      </c>
      <c r="T174" s="5">
        <v>73</v>
      </c>
      <c r="U174" s="6" t="s">
        <v>23</v>
      </c>
      <c r="V174" s="6" t="s">
        <v>23</v>
      </c>
      <c r="W174" s="6" t="s">
        <v>31</v>
      </c>
      <c r="X174" s="6" t="s">
        <v>370</v>
      </c>
    </row>
    <row r="175" spans="1:24" ht="17.25" customHeight="1">
      <c r="A175" s="2">
        <v>173</v>
      </c>
      <c r="B175" s="5">
        <v>282</v>
      </c>
      <c r="C175" s="6" t="s">
        <v>505</v>
      </c>
      <c r="D175" s="6" t="s">
        <v>447</v>
      </c>
      <c r="E175" s="6" t="str">
        <f>VLOOKUP($D175,date!$B$2:$E$376,2,FALSE)</f>
        <v>10.1016/j.tetlet.2008.05.008</v>
      </c>
      <c r="F175" s="6">
        <f>VLOOKUP($D175,date!$B$2:$E$376,3,FALSE)</f>
        <v>7</v>
      </c>
      <c r="G175" s="6">
        <f>VLOOKUP($D175,date!$B$2:$E$376,4,FALSE)</f>
        <v>2008</v>
      </c>
      <c r="H175" s="6" t="s">
        <v>448</v>
      </c>
      <c r="I175" s="6" t="s">
        <v>23</v>
      </c>
      <c r="J175" s="6" t="s">
        <v>453</v>
      </c>
      <c r="K175" s="6" t="s">
        <v>146</v>
      </c>
      <c r="L175" s="6" t="s">
        <v>305</v>
      </c>
      <c r="M175" s="6" t="s">
        <v>387</v>
      </c>
      <c r="N175" s="6" t="s">
        <v>449</v>
      </c>
      <c r="O175" s="6" t="s">
        <v>23</v>
      </c>
      <c r="P175" s="5">
        <v>10</v>
      </c>
      <c r="Q175" s="6" t="s">
        <v>322</v>
      </c>
      <c r="R175" s="5">
        <v>130</v>
      </c>
      <c r="S175" s="5">
        <v>24</v>
      </c>
      <c r="T175" s="5">
        <v>92</v>
      </c>
      <c r="U175" s="6" t="s">
        <v>23</v>
      </c>
      <c r="V175" s="6" t="s">
        <v>23</v>
      </c>
      <c r="W175" s="6" t="s">
        <v>31</v>
      </c>
      <c r="X175" s="6" t="s">
        <v>388</v>
      </c>
    </row>
    <row r="176" spans="1:24" ht="17.25" customHeight="1">
      <c r="A176" s="2">
        <v>174</v>
      </c>
      <c r="B176" s="5">
        <v>283</v>
      </c>
      <c r="C176" s="6" t="s">
        <v>506</v>
      </c>
      <c r="D176" s="6" t="s">
        <v>447</v>
      </c>
      <c r="E176" s="6" t="str">
        <f>VLOOKUP($D176,date!$B$2:$E$376,2,FALSE)</f>
        <v>10.1016/j.tetlet.2008.05.008</v>
      </c>
      <c r="F176" s="6">
        <f>VLOOKUP($D176,date!$B$2:$E$376,3,FALSE)</f>
        <v>7</v>
      </c>
      <c r="G176" s="6">
        <f>VLOOKUP($D176,date!$B$2:$E$376,4,FALSE)</f>
        <v>2008</v>
      </c>
      <c r="H176" s="6" t="s">
        <v>448</v>
      </c>
      <c r="I176" s="6" t="s">
        <v>23</v>
      </c>
      <c r="J176" s="6" t="s">
        <v>453</v>
      </c>
      <c r="K176" s="6" t="s">
        <v>25</v>
      </c>
      <c r="L176" s="6" t="s">
        <v>507</v>
      </c>
      <c r="M176" s="6" t="s">
        <v>508</v>
      </c>
      <c r="N176" s="6" t="s">
        <v>449</v>
      </c>
      <c r="O176" s="6" t="s">
        <v>23</v>
      </c>
      <c r="P176" s="5">
        <v>5</v>
      </c>
      <c r="Q176" s="6" t="s">
        <v>322</v>
      </c>
      <c r="R176" s="5">
        <v>80</v>
      </c>
      <c r="S176" s="5">
        <v>24</v>
      </c>
      <c r="T176" s="5">
        <v>96</v>
      </c>
      <c r="U176" s="6" t="s">
        <v>23</v>
      </c>
      <c r="V176" s="6" t="s">
        <v>23</v>
      </c>
      <c r="W176" s="6" t="s">
        <v>31</v>
      </c>
      <c r="X176" s="6" t="s">
        <v>509</v>
      </c>
    </row>
    <row r="177" spans="1:24" ht="17.25" customHeight="1">
      <c r="A177" s="2">
        <v>175</v>
      </c>
      <c r="B177" s="5">
        <v>284</v>
      </c>
      <c r="C177" s="6" t="s">
        <v>510</v>
      </c>
      <c r="D177" s="6" t="s">
        <v>447</v>
      </c>
      <c r="E177" s="6" t="str">
        <f>VLOOKUP($D177,date!$B$2:$E$376,2,FALSE)</f>
        <v>10.1016/j.tetlet.2008.05.008</v>
      </c>
      <c r="F177" s="6">
        <f>VLOOKUP($D177,date!$B$2:$E$376,3,FALSE)</f>
        <v>7</v>
      </c>
      <c r="G177" s="6">
        <f>VLOOKUP($D177,date!$B$2:$E$376,4,FALSE)</f>
        <v>2008</v>
      </c>
      <c r="H177" s="6" t="s">
        <v>448</v>
      </c>
      <c r="I177" s="6" t="s">
        <v>23</v>
      </c>
      <c r="J177" s="6" t="s">
        <v>453</v>
      </c>
      <c r="K177" s="6" t="s">
        <v>40</v>
      </c>
      <c r="L177" s="6" t="s">
        <v>507</v>
      </c>
      <c r="M177" s="6" t="s">
        <v>508</v>
      </c>
      <c r="N177" s="6" t="s">
        <v>449</v>
      </c>
      <c r="O177" s="6" t="s">
        <v>23</v>
      </c>
      <c r="P177" s="5">
        <v>10</v>
      </c>
      <c r="Q177" s="6" t="s">
        <v>322</v>
      </c>
      <c r="R177" s="5">
        <v>110</v>
      </c>
      <c r="S177" s="5">
        <v>24</v>
      </c>
      <c r="T177" s="5">
        <v>82</v>
      </c>
      <c r="U177" s="6" t="s">
        <v>23</v>
      </c>
      <c r="V177" s="6" t="s">
        <v>23</v>
      </c>
      <c r="W177" s="6" t="s">
        <v>31</v>
      </c>
      <c r="X177" s="6" t="s">
        <v>511</v>
      </c>
    </row>
    <row r="178" spans="1:24" ht="17.25" customHeight="1">
      <c r="A178" s="2">
        <v>176</v>
      </c>
      <c r="B178" s="5">
        <v>285</v>
      </c>
      <c r="C178" s="6" t="s">
        <v>512</v>
      </c>
      <c r="D178" s="6" t="s">
        <v>447</v>
      </c>
      <c r="E178" s="6" t="str">
        <f>VLOOKUP($D178,date!$B$2:$E$376,2,FALSE)</f>
        <v>10.1016/j.tetlet.2008.05.008</v>
      </c>
      <c r="F178" s="6">
        <f>VLOOKUP($D178,date!$B$2:$E$376,3,FALSE)</f>
        <v>7</v>
      </c>
      <c r="G178" s="6">
        <f>VLOOKUP($D178,date!$B$2:$E$376,4,FALSE)</f>
        <v>2008</v>
      </c>
      <c r="H178" s="6" t="s">
        <v>448</v>
      </c>
      <c r="I178" s="6" t="s">
        <v>23</v>
      </c>
      <c r="J178" s="6" t="s">
        <v>453</v>
      </c>
      <c r="K178" s="6" t="s">
        <v>25</v>
      </c>
      <c r="L178" s="6" t="s">
        <v>513</v>
      </c>
      <c r="M178" s="6" t="s">
        <v>514</v>
      </c>
      <c r="N178" s="6" t="s">
        <v>449</v>
      </c>
      <c r="O178" s="6" t="s">
        <v>23</v>
      </c>
      <c r="P178" s="5">
        <v>5</v>
      </c>
      <c r="Q178" s="6" t="s">
        <v>322</v>
      </c>
      <c r="R178" s="5">
        <v>110</v>
      </c>
      <c r="S178" s="5">
        <v>24</v>
      </c>
      <c r="T178" s="5">
        <v>95</v>
      </c>
      <c r="U178" s="6" t="s">
        <v>23</v>
      </c>
      <c r="V178" s="6" t="s">
        <v>23</v>
      </c>
      <c r="W178" s="6" t="s">
        <v>31</v>
      </c>
      <c r="X178" s="6" t="s">
        <v>515</v>
      </c>
    </row>
    <row r="179" spans="1:24" ht="17.25" customHeight="1">
      <c r="A179" s="2">
        <v>177</v>
      </c>
      <c r="B179" s="5">
        <v>286</v>
      </c>
      <c r="C179" s="6" t="s">
        <v>516</v>
      </c>
      <c r="D179" s="6" t="s">
        <v>447</v>
      </c>
      <c r="E179" s="6" t="str">
        <f>VLOOKUP($D179,date!$B$2:$E$376,2,FALSE)</f>
        <v>10.1016/j.tetlet.2008.05.008</v>
      </c>
      <c r="F179" s="6">
        <f>VLOOKUP($D179,date!$B$2:$E$376,3,FALSE)</f>
        <v>7</v>
      </c>
      <c r="G179" s="6">
        <f>VLOOKUP($D179,date!$B$2:$E$376,4,FALSE)</f>
        <v>2008</v>
      </c>
      <c r="H179" s="6" t="s">
        <v>448</v>
      </c>
      <c r="I179" s="6" t="s">
        <v>23</v>
      </c>
      <c r="J179" s="6" t="s">
        <v>453</v>
      </c>
      <c r="K179" s="6" t="s">
        <v>40</v>
      </c>
      <c r="L179" s="6" t="s">
        <v>513</v>
      </c>
      <c r="M179" s="6" t="s">
        <v>514</v>
      </c>
      <c r="N179" s="6" t="s">
        <v>449</v>
      </c>
      <c r="O179" s="6" t="s">
        <v>23</v>
      </c>
      <c r="P179" s="5">
        <v>10</v>
      </c>
      <c r="Q179" s="6" t="s">
        <v>322</v>
      </c>
      <c r="R179" s="5">
        <v>130</v>
      </c>
      <c r="S179" s="5">
        <v>24</v>
      </c>
      <c r="T179" s="5">
        <v>45</v>
      </c>
      <c r="U179" s="6" t="s">
        <v>23</v>
      </c>
      <c r="V179" s="6" t="s">
        <v>23</v>
      </c>
      <c r="W179" s="6" t="s">
        <v>31</v>
      </c>
      <c r="X179" s="6" t="s">
        <v>517</v>
      </c>
    </row>
    <row r="180" spans="1:24" ht="17.25" customHeight="1">
      <c r="A180" s="2">
        <v>178</v>
      </c>
      <c r="B180" s="5">
        <v>299</v>
      </c>
      <c r="C180" s="6" t="s">
        <v>518</v>
      </c>
      <c r="D180" s="6" t="s">
        <v>519</v>
      </c>
      <c r="E180" s="6" t="str">
        <f>VLOOKUP($D180,date!$B$2:$E$376,2,FALSE)</f>
        <v>10.1002/ejoc.201100112</v>
      </c>
      <c r="F180" s="6">
        <f>VLOOKUP($D180,date!$B$2:$E$376,3,FALSE)</f>
        <v>3</v>
      </c>
      <c r="G180" s="6">
        <f>VLOOKUP($D180,date!$B$2:$E$376,4,FALSE)</f>
        <v>2011</v>
      </c>
      <c r="H180" s="6" t="s">
        <v>520</v>
      </c>
      <c r="I180" s="6" t="s">
        <v>23</v>
      </c>
      <c r="J180" s="6" t="s">
        <v>24</v>
      </c>
      <c r="K180" s="6" t="s">
        <v>298</v>
      </c>
      <c r="L180" s="6" t="s">
        <v>305</v>
      </c>
      <c r="M180" s="6" t="s">
        <v>369</v>
      </c>
      <c r="N180" s="6" t="s">
        <v>181</v>
      </c>
      <c r="O180" s="6" t="s">
        <v>23</v>
      </c>
      <c r="P180" s="5">
        <v>5</v>
      </c>
      <c r="Q180" s="6" t="s">
        <v>100</v>
      </c>
      <c r="R180" s="5">
        <v>120</v>
      </c>
      <c r="S180" s="5">
        <v>14</v>
      </c>
      <c r="T180" s="5">
        <v>94</v>
      </c>
      <c r="U180" s="6" t="s">
        <v>23</v>
      </c>
      <c r="V180" s="6" t="s">
        <v>23</v>
      </c>
      <c r="W180" s="6" t="s">
        <v>31</v>
      </c>
      <c r="X180" s="6" t="s">
        <v>370</v>
      </c>
    </row>
    <row r="181" spans="1:24" ht="17.25" customHeight="1">
      <c r="A181" s="2">
        <v>179</v>
      </c>
      <c r="B181" s="5">
        <v>300</v>
      </c>
      <c r="C181" s="6" t="s">
        <v>521</v>
      </c>
      <c r="D181" s="6" t="s">
        <v>519</v>
      </c>
      <c r="E181" s="6" t="str">
        <f>VLOOKUP($D181,date!$B$2:$E$376,2,FALSE)</f>
        <v>10.1002/ejoc.201100112</v>
      </c>
      <c r="F181" s="6">
        <f>VLOOKUP($D181,date!$B$2:$E$376,3,FALSE)</f>
        <v>3</v>
      </c>
      <c r="G181" s="6">
        <f>VLOOKUP($D181,date!$B$2:$E$376,4,FALSE)</f>
        <v>2011</v>
      </c>
      <c r="H181" s="6" t="s">
        <v>520</v>
      </c>
      <c r="I181" s="6" t="s">
        <v>23</v>
      </c>
      <c r="J181" s="6" t="s">
        <v>304</v>
      </c>
      <c r="K181" s="6" t="s">
        <v>298</v>
      </c>
      <c r="L181" s="6" t="s">
        <v>305</v>
      </c>
      <c r="M181" s="6" t="s">
        <v>369</v>
      </c>
      <c r="N181" s="6" t="s">
        <v>181</v>
      </c>
      <c r="O181" s="6" t="s">
        <v>23</v>
      </c>
      <c r="P181" s="5">
        <v>5</v>
      </c>
      <c r="Q181" s="6" t="s">
        <v>100</v>
      </c>
      <c r="R181" s="5">
        <v>120</v>
      </c>
      <c r="S181" s="5">
        <v>14</v>
      </c>
      <c r="T181" s="5">
        <v>64</v>
      </c>
      <c r="U181" s="6" t="s">
        <v>23</v>
      </c>
      <c r="V181" s="6" t="s">
        <v>23</v>
      </c>
      <c r="W181" s="6" t="s">
        <v>31</v>
      </c>
      <c r="X181" s="6" t="s">
        <v>370</v>
      </c>
    </row>
    <row r="182" spans="1:24" ht="17.25" customHeight="1">
      <c r="A182" s="2">
        <v>180</v>
      </c>
      <c r="B182" s="5">
        <v>301</v>
      </c>
      <c r="C182" s="6" t="s">
        <v>522</v>
      </c>
      <c r="D182" s="6" t="s">
        <v>519</v>
      </c>
      <c r="E182" s="6" t="str">
        <f>VLOOKUP($D182,date!$B$2:$E$376,2,FALSE)</f>
        <v>10.1002/ejoc.201100112</v>
      </c>
      <c r="F182" s="6">
        <f>VLOOKUP($D182,date!$B$2:$E$376,3,FALSE)</f>
        <v>3</v>
      </c>
      <c r="G182" s="6">
        <f>VLOOKUP($D182,date!$B$2:$E$376,4,FALSE)</f>
        <v>2011</v>
      </c>
      <c r="H182" s="6" t="s">
        <v>520</v>
      </c>
      <c r="I182" s="6" t="s">
        <v>23</v>
      </c>
      <c r="J182" s="6" t="s">
        <v>96</v>
      </c>
      <c r="K182" s="6" t="s">
        <v>298</v>
      </c>
      <c r="L182" s="6" t="s">
        <v>305</v>
      </c>
      <c r="M182" s="6" t="s">
        <v>369</v>
      </c>
      <c r="N182" s="6" t="s">
        <v>181</v>
      </c>
      <c r="O182" s="6" t="s">
        <v>23</v>
      </c>
      <c r="P182" s="5">
        <v>5</v>
      </c>
      <c r="Q182" s="6" t="s">
        <v>100</v>
      </c>
      <c r="R182" s="5">
        <v>120</v>
      </c>
      <c r="S182" s="5">
        <v>14</v>
      </c>
      <c r="T182" s="5">
        <v>61</v>
      </c>
      <c r="U182" s="6" t="s">
        <v>23</v>
      </c>
      <c r="V182" s="6" t="s">
        <v>23</v>
      </c>
      <c r="W182" s="6" t="s">
        <v>31</v>
      </c>
      <c r="X182" s="6" t="s">
        <v>370</v>
      </c>
    </row>
    <row r="183" spans="1:24" ht="17.25" customHeight="1">
      <c r="A183" s="2">
        <v>181</v>
      </c>
      <c r="B183" s="5">
        <v>302</v>
      </c>
      <c r="C183" s="6" t="s">
        <v>523</v>
      </c>
      <c r="D183" s="6" t="s">
        <v>519</v>
      </c>
      <c r="E183" s="6" t="str">
        <f>VLOOKUP($D183,date!$B$2:$E$376,2,FALSE)</f>
        <v>10.1002/ejoc.201100112</v>
      </c>
      <c r="F183" s="6">
        <f>VLOOKUP($D183,date!$B$2:$E$376,3,FALSE)</f>
        <v>3</v>
      </c>
      <c r="G183" s="6">
        <f>VLOOKUP($D183,date!$B$2:$E$376,4,FALSE)</f>
        <v>2011</v>
      </c>
      <c r="H183" s="6" t="s">
        <v>520</v>
      </c>
      <c r="I183" s="6" t="s">
        <v>23</v>
      </c>
      <c r="J183" s="6" t="s">
        <v>524</v>
      </c>
      <c r="K183" s="6" t="s">
        <v>298</v>
      </c>
      <c r="L183" s="6" t="s">
        <v>305</v>
      </c>
      <c r="M183" s="6" t="s">
        <v>369</v>
      </c>
      <c r="N183" s="6" t="s">
        <v>181</v>
      </c>
      <c r="O183" s="6" t="s">
        <v>23</v>
      </c>
      <c r="P183" s="5">
        <v>5</v>
      </c>
      <c r="Q183" s="6" t="s">
        <v>100</v>
      </c>
      <c r="R183" s="5">
        <v>120</v>
      </c>
      <c r="S183" s="5">
        <v>14</v>
      </c>
      <c r="T183" s="5">
        <v>67</v>
      </c>
      <c r="U183" s="6" t="s">
        <v>23</v>
      </c>
      <c r="V183" s="6" t="s">
        <v>23</v>
      </c>
      <c r="W183" s="6" t="s">
        <v>31</v>
      </c>
      <c r="X183" s="6" t="s">
        <v>370</v>
      </c>
    </row>
    <row r="184" spans="1:24" ht="17.25" customHeight="1">
      <c r="A184" s="2">
        <v>182</v>
      </c>
      <c r="B184" s="5">
        <v>303</v>
      </c>
      <c r="C184" s="6" t="s">
        <v>525</v>
      </c>
      <c r="D184" s="6" t="s">
        <v>519</v>
      </c>
      <c r="E184" s="6" t="str">
        <f>VLOOKUP($D184,date!$B$2:$E$376,2,FALSE)</f>
        <v>10.1002/ejoc.201100112</v>
      </c>
      <c r="F184" s="6">
        <f>VLOOKUP($D184,date!$B$2:$E$376,3,FALSE)</f>
        <v>3</v>
      </c>
      <c r="G184" s="6">
        <f>VLOOKUP($D184,date!$B$2:$E$376,4,FALSE)</f>
        <v>2011</v>
      </c>
      <c r="H184" s="6" t="s">
        <v>526</v>
      </c>
      <c r="I184" s="6" t="s">
        <v>23</v>
      </c>
      <c r="J184" s="6" t="s">
        <v>24</v>
      </c>
      <c r="K184" s="6" t="s">
        <v>298</v>
      </c>
      <c r="L184" s="6" t="s">
        <v>305</v>
      </c>
      <c r="M184" s="6" t="s">
        <v>369</v>
      </c>
      <c r="N184" s="6" t="s">
        <v>181</v>
      </c>
      <c r="O184" s="6" t="s">
        <v>23</v>
      </c>
      <c r="P184" s="5">
        <v>5</v>
      </c>
      <c r="Q184" s="6" t="s">
        <v>100</v>
      </c>
      <c r="R184" s="5">
        <v>120</v>
      </c>
      <c r="S184" s="5">
        <v>14</v>
      </c>
      <c r="T184" s="5">
        <v>65</v>
      </c>
      <c r="U184" s="6" t="s">
        <v>23</v>
      </c>
      <c r="V184" s="6" t="s">
        <v>23</v>
      </c>
      <c r="W184" s="6" t="s">
        <v>31</v>
      </c>
      <c r="X184" s="6" t="s">
        <v>370</v>
      </c>
    </row>
    <row r="185" spans="1:24" ht="17.25" customHeight="1">
      <c r="A185" s="2">
        <v>183</v>
      </c>
      <c r="B185" s="5">
        <v>304</v>
      </c>
      <c r="C185" s="6" t="s">
        <v>527</v>
      </c>
      <c r="D185" s="6" t="s">
        <v>519</v>
      </c>
      <c r="E185" s="6" t="str">
        <f>VLOOKUP($D185,date!$B$2:$E$376,2,FALSE)</f>
        <v>10.1002/ejoc.201100112</v>
      </c>
      <c r="F185" s="6">
        <f>VLOOKUP($D185,date!$B$2:$E$376,3,FALSE)</f>
        <v>3</v>
      </c>
      <c r="G185" s="6">
        <f>VLOOKUP($D185,date!$B$2:$E$376,4,FALSE)</f>
        <v>2011</v>
      </c>
      <c r="H185" s="6" t="s">
        <v>526</v>
      </c>
      <c r="I185" s="6" t="s">
        <v>23</v>
      </c>
      <c r="J185" s="6" t="s">
        <v>304</v>
      </c>
      <c r="K185" s="6" t="s">
        <v>298</v>
      </c>
      <c r="L185" s="6" t="s">
        <v>305</v>
      </c>
      <c r="M185" s="6" t="s">
        <v>369</v>
      </c>
      <c r="N185" s="6" t="s">
        <v>181</v>
      </c>
      <c r="O185" s="6" t="s">
        <v>23</v>
      </c>
      <c r="P185" s="5">
        <v>5</v>
      </c>
      <c r="Q185" s="6" t="s">
        <v>100</v>
      </c>
      <c r="R185" s="5">
        <v>120</v>
      </c>
      <c r="S185" s="5">
        <v>14</v>
      </c>
      <c r="T185" s="5">
        <v>75</v>
      </c>
      <c r="U185" s="6" t="s">
        <v>23</v>
      </c>
      <c r="V185" s="6" t="s">
        <v>23</v>
      </c>
      <c r="W185" s="6" t="s">
        <v>31</v>
      </c>
      <c r="X185" s="6" t="s">
        <v>370</v>
      </c>
    </row>
    <row r="186" spans="1:24" ht="17.25" customHeight="1">
      <c r="A186" s="2">
        <v>184</v>
      </c>
      <c r="B186" s="5">
        <v>305</v>
      </c>
      <c r="C186" s="6" t="s">
        <v>528</v>
      </c>
      <c r="D186" s="6" t="s">
        <v>519</v>
      </c>
      <c r="E186" s="6" t="str">
        <f>VLOOKUP($D186,date!$B$2:$E$376,2,FALSE)</f>
        <v>10.1002/ejoc.201100112</v>
      </c>
      <c r="F186" s="6">
        <f>VLOOKUP($D186,date!$B$2:$E$376,3,FALSE)</f>
        <v>3</v>
      </c>
      <c r="G186" s="6">
        <f>VLOOKUP($D186,date!$B$2:$E$376,4,FALSE)</f>
        <v>2011</v>
      </c>
      <c r="H186" s="6" t="s">
        <v>526</v>
      </c>
      <c r="I186" s="6" t="s">
        <v>23</v>
      </c>
      <c r="J186" s="6" t="s">
        <v>96</v>
      </c>
      <c r="K186" s="6" t="s">
        <v>298</v>
      </c>
      <c r="L186" s="6" t="s">
        <v>305</v>
      </c>
      <c r="M186" s="6" t="s">
        <v>369</v>
      </c>
      <c r="N186" s="6" t="s">
        <v>181</v>
      </c>
      <c r="O186" s="6" t="s">
        <v>23</v>
      </c>
      <c r="P186" s="5">
        <v>5</v>
      </c>
      <c r="Q186" s="6" t="s">
        <v>100</v>
      </c>
      <c r="R186" s="5">
        <v>120</v>
      </c>
      <c r="S186" s="5">
        <v>14</v>
      </c>
      <c r="T186" s="5">
        <v>75</v>
      </c>
      <c r="U186" s="6" t="s">
        <v>23</v>
      </c>
      <c r="V186" s="6" t="s">
        <v>23</v>
      </c>
      <c r="W186" s="6" t="s">
        <v>31</v>
      </c>
      <c r="X186" s="6" t="s">
        <v>370</v>
      </c>
    </row>
    <row r="187" spans="1:24" ht="17.25" customHeight="1">
      <c r="A187" s="2">
        <v>185</v>
      </c>
      <c r="B187" s="5">
        <v>306</v>
      </c>
      <c r="C187" s="6" t="s">
        <v>529</v>
      </c>
      <c r="D187" s="6" t="s">
        <v>519</v>
      </c>
      <c r="E187" s="6" t="str">
        <f>VLOOKUP($D187,date!$B$2:$E$376,2,FALSE)</f>
        <v>10.1002/ejoc.201100112</v>
      </c>
      <c r="F187" s="6">
        <f>VLOOKUP($D187,date!$B$2:$E$376,3,FALSE)</f>
        <v>3</v>
      </c>
      <c r="G187" s="6">
        <f>VLOOKUP($D187,date!$B$2:$E$376,4,FALSE)</f>
        <v>2011</v>
      </c>
      <c r="H187" s="6" t="s">
        <v>520</v>
      </c>
      <c r="I187" s="6" t="s">
        <v>23</v>
      </c>
      <c r="J187" s="6" t="s">
        <v>24</v>
      </c>
      <c r="K187" s="6" t="s">
        <v>298</v>
      </c>
      <c r="L187" s="6" t="s">
        <v>305</v>
      </c>
      <c r="M187" s="6" t="s">
        <v>369</v>
      </c>
      <c r="N187" s="6" t="s">
        <v>111</v>
      </c>
      <c r="O187" s="6" t="s">
        <v>23</v>
      </c>
      <c r="P187" s="5">
        <v>5</v>
      </c>
      <c r="Q187" s="6" t="s">
        <v>100</v>
      </c>
      <c r="R187" s="5">
        <v>120</v>
      </c>
      <c r="S187" s="5">
        <v>14</v>
      </c>
      <c r="T187" s="5">
        <v>64</v>
      </c>
      <c r="U187" s="6" t="s">
        <v>23</v>
      </c>
      <c r="V187" s="6" t="s">
        <v>23</v>
      </c>
      <c r="W187" s="6" t="s">
        <v>31</v>
      </c>
      <c r="X187" s="6" t="s">
        <v>370</v>
      </c>
    </row>
    <row r="188" spans="1:24" ht="17.25" customHeight="1">
      <c r="A188" s="2">
        <v>186</v>
      </c>
      <c r="B188" s="5">
        <v>307</v>
      </c>
      <c r="C188" s="6" t="s">
        <v>530</v>
      </c>
      <c r="D188" s="6" t="s">
        <v>519</v>
      </c>
      <c r="E188" s="6" t="str">
        <f>VLOOKUP($D188,date!$B$2:$E$376,2,FALSE)</f>
        <v>10.1002/ejoc.201100112</v>
      </c>
      <c r="F188" s="6">
        <f>VLOOKUP($D188,date!$B$2:$E$376,3,FALSE)</f>
        <v>3</v>
      </c>
      <c r="G188" s="6">
        <f>VLOOKUP($D188,date!$B$2:$E$376,4,FALSE)</f>
        <v>2011</v>
      </c>
      <c r="H188" s="6" t="s">
        <v>526</v>
      </c>
      <c r="I188" s="6" t="s">
        <v>23</v>
      </c>
      <c r="J188" s="6" t="s">
        <v>24</v>
      </c>
      <c r="K188" s="6" t="s">
        <v>298</v>
      </c>
      <c r="L188" s="6" t="s">
        <v>305</v>
      </c>
      <c r="M188" s="6" t="s">
        <v>369</v>
      </c>
      <c r="N188" s="6" t="s">
        <v>111</v>
      </c>
      <c r="O188" s="6" t="s">
        <v>23</v>
      </c>
      <c r="P188" s="5">
        <v>5</v>
      </c>
      <c r="Q188" s="6" t="s">
        <v>100</v>
      </c>
      <c r="R188" s="5">
        <v>120</v>
      </c>
      <c r="S188" s="5">
        <v>14</v>
      </c>
      <c r="T188" s="5">
        <v>80</v>
      </c>
      <c r="U188" s="6" t="s">
        <v>23</v>
      </c>
      <c r="V188" s="6" t="s">
        <v>23</v>
      </c>
      <c r="W188" s="6" t="s">
        <v>31</v>
      </c>
      <c r="X188" s="6" t="s">
        <v>370</v>
      </c>
    </row>
    <row r="189" spans="1:24" ht="17.25" customHeight="1">
      <c r="A189" s="2">
        <v>187</v>
      </c>
      <c r="B189" s="5">
        <v>308</v>
      </c>
      <c r="C189" s="6" t="s">
        <v>531</v>
      </c>
      <c r="D189" s="6" t="s">
        <v>519</v>
      </c>
      <c r="E189" s="6" t="str">
        <f>VLOOKUP($D189,date!$B$2:$E$376,2,FALSE)</f>
        <v>10.1002/ejoc.201100112</v>
      </c>
      <c r="F189" s="6">
        <f>VLOOKUP($D189,date!$B$2:$E$376,3,FALSE)</f>
        <v>3</v>
      </c>
      <c r="G189" s="6">
        <f>VLOOKUP($D189,date!$B$2:$E$376,4,FALSE)</f>
        <v>2011</v>
      </c>
      <c r="H189" s="6" t="s">
        <v>520</v>
      </c>
      <c r="I189" s="6" t="s">
        <v>23</v>
      </c>
      <c r="J189" s="6" t="s">
        <v>24</v>
      </c>
      <c r="K189" s="6" t="s">
        <v>298</v>
      </c>
      <c r="L189" s="6" t="s">
        <v>305</v>
      </c>
      <c r="M189" s="6" t="s">
        <v>369</v>
      </c>
      <c r="N189" s="6" t="s">
        <v>326</v>
      </c>
      <c r="O189" s="6" t="s">
        <v>23</v>
      </c>
      <c r="P189" s="5">
        <v>5</v>
      </c>
      <c r="Q189" s="6" t="s">
        <v>100</v>
      </c>
      <c r="R189" s="5">
        <v>120</v>
      </c>
      <c r="S189" s="5">
        <v>14</v>
      </c>
      <c r="T189" s="5">
        <v>46</v>
      </c>
      <c r="U189" s="6" t="s">
        <v>23</v>
      </c>
      <c r="V189" s="6" t="s">
        <v>23</v>
      </c>
      <c r="W189" s="6" t="s">
        <v>31</v>
      </c>
      <c r="X189" s="6" t="s">
        <v>370</v>
      </c>
    </row>
    <row r="190" spans="1:24" ht="17.25" customHeight="1">
      <c r="A190" s="2">
        <v>188</v>
      </c>
      <c r="B190" s="5">
        <v>309</v>
      </c>
      <c r="C190" s="6" t="s">
        <v>532</v>
      </c>
      <c r="D190" s="6" t="s">
        <v>519</v>
      </c>
      <c r="E190" s="6" t="str">
        <f>VLOOKUP($D190,date!$B$2:$E$376,2,FALSE)</f>
        <v>10.1002/ejoc.201100112</v>
      </c>
      <c r="F190" s="6">
        <f>VLOOKUP($D190,date!$B$2:$E$376,3,FALSE)</f>
        <v>3</v>
      </c>
      <c r="G190" s="6">
        <f>VLOOKUP($D190,date!$B$2:$E$376,4,FALSE)</f>
        <v>2011</v>
      </c>
      <c r="H190" s="6" t="s">
        <v>526</v>
      </c>
      <c r="I190" s="6" t="s">
        <v>23</v>
      </c>
      <c r="J190" s="6" t="s">
        <v>24</v>
      </c>
      <c r="K190" s="6" t="s">
        <v>298</v>
      </c>
      <c r="L190" s="6" t="s">
        <v>305</v>
      </c>
      <c r="M190" s="6" t="s">
        <v>369</v>
      </c>
      <c r="N190" s="6" t="s">
        <v>326</v>
      </c>
      <c r="O190" s="6" t="s">
        <v>23</v>
      </c>
      <c r="P190" s="5">
        <v>5</v>
      </c>
      <c r="Q190" s="6" t="s">
        <v>100</v>
      </c>
      <c r="R190" s="5">
        <v>120</v>
      </c>
      <c r="S190" s="5">
        <v>14</v>
      </c>
      <c r="T190" s="5">
        <v>19</v>
      </c>
      <c r="U190" s="6" t="s">
        <v>23</v>
      </c>
      <c r="V190" s="6" t="s">
        <v>23</v>
      </c>
      <c r="W190" s="6" t="s">
        <v>31</v>
      </c>
      <c r="X190" s="6" t="s">
        <v>370</v>
      </c>
    </row>
    <row r="191" spans="1:24" ht="17.25" customHeight="1">
      <c r="A191" s="2">
        <v>189</v>
      </c>
      <c r="B191" s="5">
        <v>310</v>
      </c>
      <c r="C191" s="6" t="s">
        <v>533</v>
      </c>
      <c r="D191" s="6" t="s">
        <v>519</v>
      </c>
      <c r="E191" s="6" t="str">
        <f>VLOOKUP($D191,date!$B$2:$E$376,2,FALSE)</f>
        <v>10.1002/ejoc.201100112</v>
      </c>
      <c r="F191" s="6">
        <f>VLOOKUP($D191,date!$B$2:$E$376,3,FALSE)</f>
        <v>3</v>
      </c>
      <c r="G191" s="6">
        <f>VLOOKUP($D191,date!$B$2:$E$376,4,FALSE)</f>
        <v>2011</v>
      </c>
      <c r="H191" s="6" t="s">
        <v>520</v>
      </c>
      <c r="I191" s="6" t="s">
        <v>23</v>
      </c>
      <c r="J191" s="6" t="s">
        <v>24</v>
      </c>
      <c r="K191" s="6" t="s">
        <v>298</v>
      </c>
      <c r="L191" s="6" t="s">
        <v>305</v>
      </c>
      <c r="M191" s="6" t="s">
        <v>369</v>
      </c>
      <c r="N191" s="6" t="s">
        <v>329</v>
      </c>
      <c r="O191" s="6" t="s">
        <v>23</v>
      </c>
      <c r="P191" s="5">
        <v>5</v>
      </c>
      <c r="Q191" s="6" t="s">
        <v>100</v>
      </c>
      <c r="R191" s="5">
        <v>120</v>
      </c>
      <c r="S191" s="5">
        <v>14</v>
      </c>
      <c r="T191" s="5">
        <v>8</v>
      </c>
      <c r="U191" s="6" t="s">
        <v>23</v>
      </c>
      <c r="V191" s="6" t="s">
        <v>23</v>
      </c>
      <c r="W191" s="6" t="s">
        <v>31</v>
      </c>
      <c r="X191" s="6" t="s">
        <v>370</v>
      </c>
    </row>
    <row r="192" spans="1:24" ht="17.25" customHeight="1">
      <c r="A192" s="2">
        <v>190</v>
      </c>
      <c r="B192" s="5">
        <v>311</v>
      </c>
      <c r="C192" s="6" t="s">
        <v>534</v>
      </c>
      <c r="D192" s="6" t="s">
        <v>519</v>
      </c>
      <c r="E192" s="6" t="str">
        <f>VLOOKUP($D192,date!$B$2:$E$376,2,FALSE)</f>
        <v>10.1002/ejoc.201100112</v>
      </c>
      <c r="F192" s="6">
        <f>VLOOKUP($D192,date!$B$2:$E$376,3,FALSE)</f>
        <v>3</v>
      </c>
      <c r="G192" s="6">
        <f>VLOOKUP($D192,date!$B$2:$E$376,4,FALSE)</f>
        <v>2011</v>
      </c>
      <c r="H192" s="6" t="s">
        <v>520</v>
      </c>
      <c r="I192" s="6" t="s">
        <v>23</v>
      </c>
      <c r="J192" s="6" t="s">
        <v>24</v>
      </c>
      <c r="K192" s="6" t="s">
        <v>298</v>
      </c>
      <c r="L192" s="6" t="s">
        <v>305</v>
      </c>
      <c r="M192" s="6" t="s">
        <v>369</v>
      </c>
      <c r="N192" s="6" t="s">
        <v>181</v>
      </c>
      <c r="O192" s="6" t="s">
        <v>23</v>
      </c>
      <c r="P192" s="5">
        <v>5</v>
      </c>
      <c r="Q192" s="6" t="s">
        <v>322</v>
      </c>
      <c r="R192" s="5">
        <v>120</v>
      </c>
      <c r="S192" s="5">
        <v>14</v>
      </c>
      <c r="T192" s="5">
        <v>52</v>
      </c>
      <c r="U192" s="6" t="s">
        <v>23</v>
      </c>
      <c r="V192" s="6" t="s">
        <v>23</v>
      </c>
      <c r="W192" s="6" t="s">
        <v>31</v>
      </c>
      <c r="X192" s="6" t="s">
        <v>370</v>
      </c>
    </row>
    <row r="193" spans="1:24" ht="17.25" customHeight="1">
      <c r="A193" s="2">
        <v>191</v>
      </c>
      <c r="B193" s="5">
        <v>312</v>
      </c>
      <c r="C193" s="6" t="s">
        <v>535</v>
      </c>
      <c r="D193" s="6" t="s">
        <v>519</v>
      </c>
      <c r="E193" s="6" t="str">
        <f>VLOOKUP($D193,date!$B$2:$E$376,2,FALSE)</f>
        <v>10.1002/ejoc.201100112</v>
      </c>
      <c r="F193" s="6">
        <f>VLOOKUP($D193,date!$B$2:$E$376,3,FALSE)</f>
        <v>3</v>
      </c>
      <c r="G193" s="6">
        <f>VLOOKUP($D193,date!$B$2:$E$376,4,FALSE)</f>
        <v>2011</v>
      </c>
      <c r="H193" s="6" t="s">
        <v>526</v>
      </c>
      <c r="I193" s="6" t="s">
        <v>23</v>
      </c>
      <c r="J193" s="6" t="s">
        <v>24</v>
      </c>
      <c r="K193" s="6" t="s">
        <v>298</v>
      </c>
      <c r="L193" s="6" t="s">
        <v>305</v>
      </c>
      <c r="M193" s="6" t="s">
        <v>369</v>
      </c>
      <c r="N193" s="6" t="s">
        <v>181</v>
      </c>
      <c r="O193" s="6" t="s">
        <v>23</v>
      </c>
      <c r="P193" s="5">
        <v>5</v>
      </c>
      <c r="Q193" s="6" t="s">
        <v>322</v>
      </c>
      <c r="R193" s="5">
        <v>120</v>
      </c>
      <c r="S193" s="5">
        <v>14</v>
      </c>
      <c r="T193" s="5">
        <v>41</v>
      </c>
      <c r="U193" s="6" t="s">
        <v>23</v>
      </c>
      <c r="V193" s="6" t="s">
        <v>23</v>
      </c>
      <c r="W193" s="6" t="s">
        <v>31</v>
      </c>
      <c r="X193" s="6" t="s">
        <v>370</v>
      </c>
    </row>
    <row r="194" spans="1:24" ht="17.25" customHeight="1">
      <c r="A194" s="2">
        <v>192</v>
      </c>
      <c r="B194" s="5">
        <v>313</v>
      </c>
      <c r="C194" s="6" t="s">
        <v>536</v>
      </c>
      <c r="D194" s="6" t="s">
        <v>519</v>
      </c>
      <c r="E194" s="6" t="str">
        <f>VLOOKUP($D194,date!$B$2:$E$376,2,FALSE)</f>
        <v>10.1002/ejoc.201100112</v>
      </c>
      <c r="F194" s="6">
        <f>VLOOKUP($D194,date!$B$2:$E$376,3,FALSE)</f>
        <v>3</v>
      </c>
      <c r="G194" s="6">
        <f>VLOOKUP($D194,date!$B$2:$E$376,4,FALSE)</f>
        <v>2011</v>
      </c>
      <c r="H194" s="6" t="s">
        <v>520</v>
      </c>
      <c r="I194" s="6" t="s">
        <v>23</v>
      </c>
      <c r="J194" s="6" t="s">
        <v>24</v>
      </c>
      <c r="K194" s="6" t="s">
        <v>298</v>
      </c>
      <c r="L194" s="6" t="s">
        <v>305</v>
      </c>
      <c r="M194" s="6" t="s">
        <v>369</v>
      </c>
      <c r="N194" s="6" t="s">
        <v>111</v>
      </c>
      <c r="O194" s="6" t="s">
        <v>23</v>
      </c>
      <c r="P194" s="5">
        <v>5</v>
      </c>
      <c r="Q194" s="6" t="s">
        <v>322</v>
      </c>
      <c r="R194" s="5">
        <v>120</v>
      </c>
      <c r="S194" s="5">
        <v>14</v>
      </c>
      <c r="T194" s="5">
        <v>28</v>
      </c>
      <c r="U194" s="6" t="s">
        <v>23</v>
      </c>
      <c r="V194" s="6" t="s">
        <v>23</v>
      </c>
      <c r="W194" s="6" t="s">
        <v>31</v>
      </c>
      <c r="X194" s="6" t="s">
        <v>370</v>
      </c>
    </row>
    <row r="195" spans="1:24" ht="17.25" customHeight="1">
      <c r="A195" s="2">
        <v>193</v>
      </c>
      <c r="B195" s="5">
        <v>314</v>
      </c>
      <c r="C195" s="6" t="s">
        <v>537</v>
      </c>
      <c r="D195" s="6" t="s">
        <v>519</v>
      </c>
      <c r="E195" s="6" t="str">
        <f>VLOOKUP($D195,date!$B$2:$E$376,2,FALSE)</f>
        <v>10.1002/ejoc.201100112</v>
      </c>
      <c r="F195" s="6">
        <f>VLOOKUP($D195,date!$B$2:$E$376,3,FALSE)</f>
        <v>3</v>
      </c>
      <c r="G195" s="6">
        <f>VLOOKUP($D195,date!$B$2:$E$376,4,FALSE)</f>
        <v>2011</v>
      </c>
      <c r="H195" s="6" t="s">
        <v>526</v>
      </c>
      <c r="I195" s="6" t="s">
        <v>23</v>
      </c>
      <c r="J195" s="6" t="s">
        <v>24</v>
      </c>
      <c r="K195" s="6" t="s">
        <v>298</v>
      </c>
      <c r="L195" s="6" t="s">
        <v>305</v>
      </c>
      <c r="M195" s="6" t="s">
        <v>369</v>
      </c>
      <c r="N195" s="6" t="s">
        <v>111</v>
      </c>
      <c r="O195" s="6" t="s">
        <v>23</v>
      </c>
      <c r="P195" s="5">
        <v>5</v>
      </c>
      <c r="Q195" s="6" t="s">
        <v>322</v>
      </c>
      <c r="R195" s="5">
        <v>120</v>
      </c>
      <c r="S195" s="5">
        <v>14</v>
      </c>
      <c r="T195" s="5">
        <v>40</v>
      </c>
      <c r="U195" s="6" t="s">
        <v>23</v>
      </c>
      <c r="V195" s="6" t="s">
        <v>23</v>
      </c>
      <c r="W195" s="6" t="s">
        <v>31</v>
      </c>
      <c r="X195" s="6" t="s">
        <v>370</v>
      </c>
    </row>
    <row r="196" spans="1:24" ht="17.25" customHeight="1">
      <c r="A196" s="2">
        <v>194</v>
      </c>
      <c r="B196" s="5">
        <v>315</v>
      </c>
      <c r="C196" s="6" t="s">
        <v>538</v>
      </c>
      <c r="D196" s="6" t="s">
        <v>519</v>
      </c>
      <c r="E196" s="6" t="str">
        <f>VLOOKUP($D196,date!$B$2:$E$376,2,FALSE)</f>
        <v>10.1002/ejoc.201100112</v>
      </c>
      <c r="F196" s="6">
        <f>VLOOKUP($D196,date!$B$2:$E$376,3,FALSE)</f>
        <v>3</v>
      </c>
      <c r="G196" s="6">
        <f>VLOOKUP($D196,date!$B$2:$E$376,4,FALSE)</f>
        <v>2011</v>
      </c>
      <c r="H196" s="6" t="s">
        <v>520</v>
      </c>
      <c r="I196" s="6" t="s">
        <v>23</v>
      </c>
      <c r="J196" s="6" t="s">
        <v>24</v>
      </c>
      <c r="K196" s="6" t="s">
        <v>298</v>
      </c>
      <c r="L196" s="6" t="s">
        <v>305</v>
      </c>
      <c r="M196" s="6" t="s">
        <v>369</v>
      </c>
      <c r="N196" s="6" t="s">
        <v>181</v>
      </c>
      <c r="O196" s="6" t="s">
        <v>23</v>
      </c>
      <c r="P196" s="5">
        <v>5</v>
      </c>
      <c r="Q196" s="6" t="s">
        <v>28</v>
      </c>
      <c r="R196" s="5">
        <v>120</v>
      </c>
      <c r="S196" s="5">
        <v>14</v>
      </c>
      <c r="T196" s="5">
        <v>11</v>
      </c>
      <c r="U196" s="6" t="s">
        <v>23</v>
      </c>
      <c r="V196" s="6" t="s">
        <v>23</v>
      </c>
      <c r="W196" s="6" t="s">
        <v>31</v>
      </c>
      <c r="X196" s="6" t="s">
        <v>370</v>
      </c>
    </row>
    <row r="197" spans="1:24" ht="17.25" customHeight="1">
      <c r="A197" s="2">
        <v>195</v>
      </c>
      <c r="B197" s="5">
        <v>316</v>
      </c>
      <c r="C197" s="6" t="s">
        <v>539</v>
      </c>
      <c r="D197" s="6" t="s">
        <v>519</v>
      </c>
      <c r="E197" s="6" t="str">
        <f>VLOOKUP($D197,date!$B$2:$E$376,2,FALSE)</f>
        <v>10.1002/ejoc.201100112</v>
      </c>
      <c r="F197" s="6">
        <f>VLOOKUP($D197,date!$B$2:$E$376,3,FALSE)</f>
        <v>3</v>
      </c>
      <c r="G197" s="6">
        <f>VLOOKUP($D197,date!$B$2:$E$376,4,FALSE)</f>
        <v>2011</v>
      </c>
      <c r="H197" s="6" t="s">
        <v>526</v>
      </c>
      <c r="I197" s="6" t="s">
        <v>23</v>
      </c>
      <c r="J197" s="6" t="s">
        <v>24</v>
      </c>
      <c r="K197" s="6" t="s">
        <v>298</v>
      </c>
      <c r="L197" s="6" t="s">
        <v>305</v>
      </c>
      <c r="M197" s="6" t="s">
        <v>369</v>
      </c>
      <c r="N197" s="6" t="s">
        <v>181</v>
      </c>
      <c r="O197" s="6" t="s">
        <v>23</v>
      </c>
      <c r="P197" s="5">
        <v>5</v>
      </c>
      <c r="Q197" s="6" t="s">
        <v>28</v>
      </c>
      <c r="R197" s="5">
        <v>120</v>
      </c>
      <c r="S197" s="5">
        <v>14</v>
      </c>
      <c r="T197" s="5">
        <v>10</v>
      </c>
      <c r="U197" s="6" t="s">
        <v>23</v>
      </c>
      <c r="V197" s="6" t="s">
        <v>23</v>
      </c>
      <c r="W197" s="6" t="s">
        <v>31</v>
      </c>
      <c r="X197" s="6" t="s">
        <v>370</v>
      </c>
    </row>
    <row r="198" spans="1:24" ht="17.25" customHeight="1">
      <c r="A198" s="2">
        <v>196</v>
      </c>
      <c r="B198" s="5">
        <v>317</v>
      </c>
      <c r="C198" s="6" t="s">
        <v>540</v>
      </c>
      <c r="D198" s="6" t="s">
        <v>519</v>
      </c>
      <c r="E198" s="6" t="str">
        <f>VLOOKUP($D198,date!$B$2:$E$376,2,FALSE)</f>
        <v>10.1002/ejoc.201100112</v>
      </c>
      <c r="F198" s="6">
        <f>VLOOKUP($D198,date!$B$2:$E$376,3,FALSE)</f>
        <v>3</v>
      </c>
      <c r="G198" s="6">
        <f>VLOOKUP($D198,date!$B$2:$E$376,4,FALSE)</f>
        <v>2011</v>
      </c>
      <c r="H198" s="6" t="s">
        <v>520</v>
      </c>
      <c r="I198" s="6" t="s">
        <v>23</v>
      </c>
      <c r="J198" s="6" t="s">
        <v>24</v>
      </c>
      <c r="K198" s="6" t="s">
        <v>298</v>
      </c>
      <c r="L198" s="6" t="s">
        <v>305</v>
      </c>
      <c r="M198" s="6" t="s">
        <v>369</v>
      </c>
      <c r="N198" s="6" t="s">
        <v>181</v>
      </c>
      <c r="O198" s="6" t="s">
        <v>23</v>
      </c>
      <c r="P198" s="5">
        <v>2</v>
      </c>
      <c r="Q198" s="6" t="s">
        <v>100</v>
      </c>
      <c r="R198" s="5">
        <v>120</v>
      </c>
      <c r="S198" s="5">
        <v>14</v>
      </c>
      <c r="T198" s="5">
        <v>68</v>
      </c>
      <c r="U198" s="6" t="s">
        <v>23</v>
      </c>
      <c r="V198" s="6" t="s">
        <v>23</v>
      </c>
      <c r="W198" s="6" t="s">
        <v>31</v>
      </c>
      <c r="X198" s="6" t="s">
        <v>370</v>
      </c>
    </row>
    <row r="199" spans="1:24" ht="17.25" customHeight="1">
      <c r="A199" s="2">
        <v>197</v>
      </c>
      <c r="B199" s="5">
        <v>318</v>
      </c>
      <c r="C199" s="6" t="s">
        <v>541</v>
      </c>
      <c r="D199" s="6" t="s">
        <v>519</v>
      </c>
      <c r="E199" s="6" t="str">
        <f>VLOOKUP($D199,date!$B$2:$E$376,2,FALSE)</f>
        <v>10.1002/ejoc.201100112</v>
      </c>
      <c r="F199" s="6">
        <f>VLOOKUP($D199,date!$B$2:$E$376,3,FALSE)</f>
        <v>3</v>
      </c>
      <c r="G199" s="6">
        <f>VLOOKUP($D199,date!$B$2:$E$376,4,FALSE)</f>
        <v>2011</v>
      </c>
      <c r="H199" s="6" t="s">
        <v>520</v>
      </c>
      <c r="I199" s="6" t="s">
        <v>23</v>
      </c>
      <c r="J199" s="6" t="s">
        <v>24</v>
      </c>
      <c r="K199" s="6" t="s">
        <v>298</v>
      </c>
      <c r="L199" s="6" t="s">
        <v>305</v>
      </c>
      <c r="M199" s="6" t="s">
        <v>369</v>
      </c>
      <c r="N199" s="6" t="s">
        <v>181</v>
      </c>
      <c r="O199" s="6" t="s">
        <v>23</v>
      </c>
      <c r="P199" s="5">
        <v>10</v>
      </c>
      <c r="Q199" s="6" t="s">
        <v>100</v>
      </c>
      <c r="R199" s="5">
        <v>120</v>
      </c>
      <c r="S199" s="5">
        <v>14</v>
      </c>
      <c r="T199" s="5">
        <v>95</v>
      </c>
      <c r="U199" s="6" t="s">
        <v>23</v>
      </c>
      <c r="V199" s="6" t="s">
        <v>23</v>
      </c>
      <c r="W199" s="6" t="s">
        <v>31</v>
      </c>
      <c r="X199" s="6" t="s">
        <v>370</v>
      </c>
    </row>
    <row r="200" spans="1:24" ht="17.25" customHeight="1">
      <c r="A200" s="2">
        <v>198</v>
      </c>
      <c r="B200" s="5">
        <v>319</v>
      </c>
      <c r="C200" s="6" t="s">
        <v>542</v>
      </c>
      <c r="D200" s="6" t="s">
        <v>519</v>
      </c>
      <c r="E200" s="6" t="str">
        <f>VLOOKUP($D200,date!$B$2:$E$376,2,FALSE)</f>
        <v>10.1002/ejoc.201100112</v>
      </c>
      <c r="F200" s="6">
        <f>VLOOKUP($D200,date!$B$2:$E$376,3,FALSE)</f>
        <v>3</v>
      </c>
      <c r="G200" s="6">
        <f>VLOOKUP($D200,date!$B$2:$E$376,4,FALSE)</f>
        <v>2011</v>
      </c>
      <c r="H200" s="6" t="s">
        <v>520</v>
      </c>
      <c r="I200" s="6" t="s">
        <v>23</v>
      </c>
      <c r="J200" s="6" t="s">
        <v>24</v>
      </c>
      <c r="K200" s="6" t="s">
        <v>298</v>
      </c>
      <c r="L200" s="6" t="s">
        <v>305</v>
      </c>
      <c r="M200" s="6" t="s">
        <v>369</v>
      </c>
      <c r="N200" s="6" t="s">
        <v>181</v>
      </c>
      <c r="O200" s="6" t="s">
        <v>23</v>
      </c>
      <c r="P200" s="5">
        <v>5</v>
      </c>
      <c r="Q200" s="6" t="s">
        <v>97</v>
      </c>
      <c r="R200" s="5">
        <v>120</v>
      </c>
      <c r="S200" s="5">
        <v>14</v>
      </c>
      <c r="T200" s="5">
        <v>0</v>
      </c>
      <c r="U200" s="6" t="s">
        <v>23</v>
      </c>
      <c r="V200" s="6" t="s">
        <v>103</v>
      </c>
      <c r="W200" s="6" t="s">
        <v>31</v>
      </c>
      <c r="X200" s="6" t="s">
        <v>370</v>
      </c>
    </row>
    <row r="201" spans="1:24" ht="17.25" customHeight="1">
      <c r="A201" s="2">
        <v>199</v>
      </c>
      <c r="B201" s="5">
        <v>320</v>
      </c>
      <c r="C201" s="6" t="s">
        <v>543</v>
      </c>
      <c r="D201" s="6" t="s">
        <v>519</v>
      </c>
      <c r="E201" s="6" t="str">
        <f>VLOOKUP($D201,date!$B$2:$E$376,2,FALSE)</f>
        <v>10.1002/ejoc.201100112</v>
      </c>
      <c r="F201" s="6">
        <f>VLOOKUP($D201,date!$B$2:$E$376,3,FALSE)</f>
        <v>3</v>
      </c>
      <c r="G201" s="6">
        <f>VLOOKUP($D201,date!$B$2:$E$376,4,FALSE)</f>
        <v>2011</v>
      </c>
      <c r="H201" s="6" t="s">
        <v>520</v>
      </c>
      <c r="I201" s="6" t="s">
        <v>23</v>
      </c>
      <c r="J201" s="6" t="s">
        <v>24</v>
      </c>
      <c r="K201" s="6" t="s">
        <v>298</v>
      </c>
      <c r="L201" s="6" t="s">
        <v>305</v>
      </c>
      <c r="M201" s="6" t="s">
        <v>369</v>
      </c>
      <c r="N201" s="6" t="s">
        <v>181</v>
      </c>
      <c r="O201" s="6" t="s">
        <v>23</v>
      </c>
      <c r="P201" s="5">
        <v>10</v>
      </c>
      <c r="Q201" s="6" t="s">
        <v>100</v>
      </c>
      <c r="R201" s="5">
        <v>120</v>
      </c>
      <c r="S201" s="5">
        <v>14</v>
      </c>
      <c r="T201" s="5">
        <v>91</v>
      </c>
      <c r="U201" s="6" t="s">
        <v>23</v>
      </c>
      <c r="V201" s="6" t="s">
        <v>23</v>
      </c>
      <c r="W201" s="6" t="s">
        <v>31</v>
      </c>
      <c r="X201" s="6" t="s">
        <v>370</v>
      </c>
    </row>
    <row r="202" spans="1:24" ht="17.25" customHeight="1">
      <c r="A202"/>
      <c r="B202"/>
      <c r="P202"/>
      <c r="R202"/>
      <c r="S202"/>
      <c r="T202"/>
    </row>
    <row r="203" spans="1:24" ht="17.25" customHeight="1">
      <c r="A203"/>
      <c r="B203"/>
      <c r="P203"/>
      <c r="R203"/>
      <c r="S203"/>
      <c r="T203"/>
    </row>
    <row r="204" spans="1:24" ht="17.25" customHeight="1">
      <c r="A204"/>
      <c r="B204"/>
      <c r="P204"/>
      <c r="R204"/>
      <c r="S204"/>
      <c r="T204"/>
    </row>
    <row r="205" spans="1:24" ht="17.25" customHeight="1">
      <c r="A205"/>
      <c r="B205"/>
      <c r="P205"/>
      <c r="R205"/>
      <c r="S205"/>
      <c r="T205"/>
    </row>
    <row r="206" spans="1:24" ht="17.25" customHeight="1">
      <c r="A206"/>
      <c r="B206"/>
      <c r="P206"/>
      <c r="R206"/>
      <c r="S206"/>
      <c r="T206"/>
    </row>
    <row r="207" spans="1:24" ht="17.25" customHeight="1">
      <c r="A207"/>
      <c r="B207"/>
      <c r="P207"/>
      <c r="R207"/>
      <c r="S207"/>
      <c r="T207"/>
    </row>
    <row r="208" spans="1:24" ht="17.25" customHeight="1">
      <c r="A208"/>
      <c r="B208"/>
      <c r="P208"/>
      <c r="R208"/>
      <c r="S208"/>
      <c r="T208"/>
    </row>
    <row r="209" spans="1:20" ht="17.25" customHeight="1">
      <c r="A209"/>
      <c r="B209"/>
      <c r="P209"/>
      <c r="R209"/>
      <c r="S209"/>
      <c r="T209"/>
    </row>
    <row r="210" spans="1:20" ht="17.25" customHeight="1">
      <c r="A210"/>
      <c r="B210"/>
      <c r="P210"/>
      <c r="R210"/>
      <c r="S210"/>
      <c r="T210"/>
    </row>
    <row r="211" spans="1:20" ht="17.25" customHeight="1">
      <c r="A211"/>
      <c r="B211"/>
      <c r="P211"/>
      <c r="R211"/>
      <c r="S211"/>
      <c r="T211"/>
    </row>
    <row r="212" spans="1:20" ht="17.25" customHeight="1">
      <c r="A212"/>
      <c r="B212"/>
      <c r="P212"/>
      <c r="R212"/>
      <c r="S212"/>
      <c r="T212"/>
    </row>
    <row r="213" spans="1:20" ht="17.25" customHeight="1">
      <c r="A213"/>
      <c r="B213"/>
      <c r="P213"/>
      <c r="R213"/>
      <c r="S213"/>
      <c r="T213"/>
    </row>
    <row r="214" spans="1:20" ht="17.25" customHeight="1">
      <c r="A214"/>
      <c r="B214"/>
      <c r="P214"/>
      <c r="R214"/>
      <c r="S214"/>
      <c r="T214"/>
    </row>
    <row r="215" spans="1:20" ht="17.25" customHeight="1">
      <c r="A215"/>
      <c r="B215"/>
      <c r="P215"/>
      <c r="R215"/>
      <c r="S215"/>
      <c r="T215"/>
    </row>
    <row r="216" spans="1:20" ht="17.25" customHeight="1">
      <c r="A216"/>
      <c r="B216"/>
      <c r="P216"/>
      <c r="R216"/>
      <c r="S216"/>
      <c r="T216"/>
    </row>
    <row r="217" spans="1:20" ht="17.25" customHeight="1">
      <c r="A217"/>
      <c r="B217"/>
      <c r="P217"/>
      <c r="R217"/>
      <c r="S217"/>
      <c r="T217"/>
    </row>
    <row r="218" spans="1:20" ht="17.25" customHeight="1">
      <c r="A218"/>
      <c r="B218"/>
      <c r="P218"/>
      <c r="R218"/>
      <c r="S218"/>
      <c r="T218"/>
    </row>
    <row r="219" spans="1:20" ht="17.25" customHeight="1">
      <c r="A219"/>
      <c r="B219"/>
      <c r="P219"/>
      <c r="R219"/>
      <c r="S219"/>
      <c r="T219"/>
    </row>
    <row r="220" spans="1:20" ht="17.25" customHeight="1">
      <c r="A220"/>
      <c r="B220"/>
      <c r="P220"/>
      <c r="R220"/>
      <c r="S220"/>
      <c r="T220"/>
    </row>
    <row r="221" spans="1:20" ht="17.25" customHeight="1">
      <c r="A221"/>
      <c r="B221"/>
      <c r="P221"/>
      <c r="R221"/>
      <c r="S221"/>
      <c r="T221"/>
    </row>
    <row r="222" spans="1:20" ht="17.25" customHeight="1">
      <c r="A222"/>
      <c r="B222"/>
      <c r="P222"/>
      <c r="R222"/>
      <c r="S222"/>
      <c r="T222"/>
    </row>
    <row r="223" spans="1:20" ht="17.25" customHeight="1">
      <c r="A223"/>
      <c r="B223"/>
      <c r="P223"/>
      <c r="R223"/>
      <c r="S223"/>
      <c r="T223"/>
    </row>
    <row r="224" spans="1:20" ht="17.25" customHeight="1">
      <c r="A224"/>
      <c r="B224"/>
      <c r="P224"/>
      <c r="R224"/>
      <c r="S224"/>
      <c r="T224"/>
    </row>
    <row r="225" spans="1:20" ht="17.25" customHeight="1">
      <c r="A225"/>
      <c r="B225"/>
      <c r="P225"/>
      <c r="R225"/>
      <c r="S225"/>
      <c r="T225"/>
    </row>
    <row r="226" spans="1:20" ht="17.25" customHeight="1">
      <c r="A226"/>
      <c r="B226"/>
      <c r="P226"/>
      <c r="R226"/>
      <c r="S226"/>
      <c r="T226"/>
    </row>
    <row r="227" spans="1:20" ht="17.25" customHeight="1">
      <c r="A227"/>
      <c r="B227"/>
      <c r="P227"/>
      <c r="R227"/>
      <c r="S227"/>
      <c r="T227"/>
    </row>
    <row r="228" spans="1:20" ht="17.25" customHeight="1">
      <c r="A228"/>
      <c r="B228"/>
      <c r="P228"/>
      <c r="R228"/>
      <c r="S228"/>
      <c r="T228"/>
    </row>
    <row r="229" spans="1:20" ht="17.25" customHeight="1">
      <c r="A229"/>
      <c r="B229"/>
      <c r="P229"/>
      <c r="R229"/>
      <c r="S229"/>
      <c r="T229"/>
    </row>
    <row r="230" spans="1:20" ht="17.25" customHeight="1">
      <c r="A230"/>
      <c r="B230"/>
      <c r="P230"/>
      <c r="R230"/>
      <c r="S230"/>
      <c r="T230"/>
    </row>
    <row r="231" spans="1:20" ht="17.25" customHeight="1">
      <c r="A231"/>
      <c r="B231"/>
      <c r="P231"/>
      <c r="R231"/>
      <c r="S231"/>
      <c r="T231"/>
    </row>
    <row r="232" spans="1:20" ht="17.25" customHeight="1">
      <c r="A232"/>
      <c r="B232"/>
      <c r="P232"/>
      <c r="R232"/>
      <c r="S232"/>
      <c r="T232"/>
    </row>
    <row r="233" spans="1:20" ht="17.25" customHeight="1">
      <c r="A233"/>
      <c r="B233"/>
      <c r="P233"/>
      <c r="R233"/>
      <c r="S233"/>
      <c r="T233"/>
    </row>
    <row r="234" spans="1:20" ht="17.25" customHeight="1">
      <c r="A234"/>
      <c r="B234"/>
      <c r="P234"/>
      <c r="R234"/>
      <c r="S234"/>
      <c r="T234"/>
    </row>
    <row r="235" spans="1:20" ht="17.25" customHeight="1">
      <c r="A235"/>
      <c r="B235"/>
      <c r="P235"/>
      <c r="R235"/>
      <c r="S235"/>
      <c r="T235"/>
    </row>
    <row r="236" spans="1:20" ht="17.25" customHeight="1">
      <c r="A236"/>
      <c r="B236"/>
      <c r="P236"/>
      <c r="R236"/>
      <c r="S236"/>
      <c r="T236"/>
    </row>
    <row r="237" spans="1:20" ht="17.25" customHeight="1">
      <c r="A237"/>
      <c r="B237"/>
      <c r="P237"/>
      <c r="R237"/>
      <c r="S237"/>
      <c r="T237"/>
    </row>
    <row r="238" spans="1:20" ht="17.25" customHeight="1">
      <c r="A238"/>
      <c r="B238"/>
      <c r="P238"/>
      <c r="R238"/>
      <c r="S238"/>
      <c r="T238"/>
    </row>
    <row r="239" spans="1:20" ht="17.25" customHeight="1">
      <c r="A239"/>
      <c r="B239"/>
      <c r="P239"/>
      <c r="R239"/>
      <c r="S239"/>
      <c r="T239"/>
    </row>
    <row r="240" spans="1:20" ht="17.25" customHeight="1">
      <c r="A240"/>
      <c r="B240"/>
      <c r="P240"/>
      <c r="R240"/>
      <c r="S240"/>
      <c r="T240"/>
    </row>
    <row r="241" spans="1:20" ht="17.25" customHeight="1">
      <c r="A241"/>
      <c r="B241"/>
      <c r="P241"/>
      <c r="R241"/>
      <c r="S241"/>
      <c r="T241"/>
    </row>
    <row r="242" spans="1:20" ht="17.25" customHeight="1">
      <c r="A242"/>
      <c r="B242"/>
      <c r="P242"/>
      <c r="R242"/>
      <c r="S242"/>
      <c r="T242"/>
    </row>
    <row r="243" spans="1:20" ht="17.25" customHeight="1">
      <c r="A243"/>
      <c r="B243"/>
      <c r="P243"/>
      <c r="R243"/>
      <c r="S243"/>
      <c r="T243"/>
    </row>
    <row r="244" spans="1:20" ht="17.25" customHeight="1">
      <c r="A244"/>
      <c r="B244"/>
      <c r="P244"/>
      <c r="R244"/>
      <c r="S244"/>
      <c r="T244"/>
    </row>
    <row r="245" spans="1:20" ht="17.25" customHeight="1">
      <c r="A245"/>
      <c r="B245"/>
      <c r="P245"/>
      <c r="R245"/>
      <c r="S245"/>
      <c r="T245"/>
    </row>
    <row r="246" spans="1:20" ht="17.25" customHeight="1">
      <c r="A246"/>
      <c r="B246"/>
      <c r="P246"/>
      <c r="R246"/>
      <c r="S246"/>
      <c r="T246"/>
    </row>
    <row r="247" spans="1:20" ht="17.25" customHeight="1">
      <c r="A247"/>
      <c r="B247"/>
      <c r="P247"/>
      <c r="R247"/>
      <c r="S247"/>
      <c r="T247"/>
    </row>
    <row r="248" spans="1:20" ht="17.25" customHeight="1">
      <c r="A248"/>
      <c r="B248"/>
      <c r="P248"/>
      <c r="R248"/>
      <c r="S248"/>
      <c r="T248"/>
    </row>
    <row r="249" spans="1:20" ht="17.25" customHeight="1">
      <c r="A249"/>
      <c r="B249"/>
      <c r="P249"/>
      <c r="R249"/>
      <c r="S249"/>
      <c r="T249"/>
    </row>
    <row r="250" spans="1:20" ht="17.25" customHeight="1">
      <c r="A250"/>
      <c r="B250"/>
      <c r="P250"/>
      <c r="R250"/>
      <c r="S250"/>
      <c r="T250"/>
    </row>
    <row r="251" spans="1:20" ht="17.25" customHeight="1">
      <c r="A251"/>
      <c r="B251"/>
      <c r="P251"/>
      <c r="R251"/>
      <c r="S251"/>
      <c r="T251"/>
    </row>
    <row r="252" spans="1:20" ht="17.25" customHeight="1">
      <c r="A252"/>
      <c r="B252"/>
      <c r="P252"/>
      <c r="R252"/>
      <c r="S252"/>
      <c r="T252"/>
    </row>
    <row r="253" spans="1:20" ht="17.25" customHeight="1">
      <c r="A253"/>
      <c r="B253"/>
      <c r="P253"/>
      <c r="R253"/>
      <c r="S253"/>
      <c r="T253"/>
    </row>
    <row r="254" spans="1:20" ht="17.25" customHeight="1">
      <c r="A254"/>
      <c r="B254"/>
      <c r="P254"/>
      <c r="R254"/>
      <c r="S254"/>
      <c r="T254"/>
    </row>
    <row r="255" spans="1:20" ht="17.25" customHeight="1">
      <c r="A255"/>
      <c r="B255"/>
      <c r="P255"/>
      <c r="R255"/>
      <c r="S255"/>
      <c r="T255"/>
    </row>
    <row r="256" spans="1:20" ht="17.25" customHeight="1">
      <c r="A256"/>
      <c r="B256"/>
      <c r="P256"/>
      <c r="R256"/>
      <c r="S256"/>
      <c r="T256"/>
    </row>
    <row r="257" spans="1:20" ht="17.25" customHeight="1">
      <c r="A257"/>
      <c r="B257"/>
      <c r="P257"/>
      <c r="R257"/>
      <c r="S257"/>
      <c r="T257"/>
    </row>
    <row r="258" spans="1:20" ht="17.25" customHeight="1">
      <c r="A258"/>
      <c r="B258"/>
      <c r="P258"/>
      <c r="R258"/>
      <c r="S258"/>
      <c r="T258"/>
    </row>
    <row r="259" spans="1:20" ht="17.25" customHeight="1">
      <c r="A259"/>
      <c r="B259"/>
      <c r="P259"/>
      <c r="R259"/>
      <c r="S259"/>
      <c r="T259"/>
    </row>
    <row r="260" spans="1:20" ht="17.25" customHeight="1">
      <c r="A260"/>
      <c r="B260"/>
      <c r="P260"/>
      <c r="R260"/>
      <c r="S260"/>
      <c r="T260"/>
    </row>
    <row r="261" spans="1:20" ht="17.25" customHeight="1">
      <c r="A261"/>
      <c r="B261"/>
      <c r="P261"/>
      <c r="R261"/>
      <c r="S261"/>
      <c r="T261"/>
    </row>
    <row r="262" spans="1:20" ht="17.25" customHeight="1">
      <c r="A262"/>
      <c r="B262"/>
      <c r="P262"/>
      <c r="R262"/>
      <c r="S262"/>
      <c r="T262"/>
    </row>
    <row r="263" spans="1:20" ht="17.25" customHeight="1">
      <c r="A263"/>
      <c r="B263"/>
      <c r="P263"/>
      <c r="R263"/>
      <c r="S263"/>
      <c r="T263"/>
    </row>
    <row r="264" spans="1:20" ht="17.25" customHeight="1">
      <c r="A264"/>
      <c r="B264"/>
      <c r="P264"/>
      <c r="R264"/>
      <c r="S264"/>
      <c r="T264"/>
    </row>
    <row r="265" spans="1:20" ht="17.25" customHeight="1">
      <c r="A265"/>
      <c r="B265"/>
      <c r="P265"/>
      <c r="R265"/>
      <c r="S265"/>
      <c r="T265"/>
    </row>
    <row r="266" spans="1:20" ht="17.25" customHeight="1">
      <c r="A266"/>
      <c r="B266"/>
      <c r="P266"/>
      <c r="R266"/>
      <c r="S266"/>
      <c r="T266"/>
    </row>
    <row r="267" spans="1:20" ht="17.25" customHeight="1">
      <c r="A267"/>
      <c r="B267"/>
      <c r="P267"/>
      <c r="R267"/>
      <c r="S267"/>
      <c r="T267"/>
    </row>
    <row r="268" spans="1:20" ht="17.25" customHeight="1">
      <c r="A268"/>
      <c r="B268"/>
      <c r="P268"/>
      <c r="R268"/>
      <c r="S268"/>
      <c r="T268"/>
    </row>
    <row r="269" spans="1:20" ht="17.25" customHeight="1">
      <c r="A269"/>
      <c r="B269"/>
      <c r="P269"/>
      <c r="R269"/>
      <c r="S269"/>
      <c r="T269"/>
    </row>
    <row r="270" spans="1:20" ht="17.25" customHeight="1">
      <c r="A270"/>
      <c r="B270"/>
      <c r="P270"/>
      <c r="R270"/>
      <c r="S270"/>
      <c r="T270"/>
    </row>
    <row r="271" spans="1:20" ht="17.25" customHeight="1">
      <c r="A271"/>
      <c r="B271"/>
      <c r="P271"/>
      <c r="R271"/>
      <c r="S271"/>
      <c r="T271"/>
    </row>
    <row r="272" spans="1:20" ht="17.25" customHeight="1">
      <c r="A272"/>
      <c r="B272"/>
      <c r="P272"/>
      <c r="R272"/>
      <c r="S272"/>
      <c r="T272"/>
    </row>
    <row r="273" spans="1:20" ht="17.25" customHeight="1">
      <c r="A273"/>
      <c r="B273"/>
      <c r="P273"/>
      <c r="R273"/>
      <c r="S273"/>
      <c r="T273"/>
    </row>
    <row r="274" spans="1:20" ht="17.25" customHeight="1">
      <c r="A274"/>
      <c r="B274"/>
      <c r="P274"/>
      <c r="R274"/>
      <c r="S274"/>
      <c r="T274"/>
    </row>
    <row r="275" spans="1:20" ht="17.25" customHeight="1">
      <c r="A275"/>
      <c r="B275"/>
      <c r="P275"/>
      <c r="R275"/>
      <c r="S275"/>
      <c r="T275"/>
    </row>
    <row r="276" spans="1:20" ht="17.25" customHeight="1">
      <c r="A276"/>
      <c r="B276"/>
      <c r="P276"/>
      <c r="R276"/>
      <c r="S276"/>
      <c r="T276"/>
    </row>
    <row r="277" spans="1:20" ht="17.25" customHeight="1">
      <c r="A277"/>
      <c r="B277"/>
      <c r="P277"/>
      <c r="R277"/>
      <c r="S277"/>
      <c r="T277"/>
    </row>
    <row r="278" spans="1:20" ht="17.25" customHeight="1">
      <c r="A278"/>
      <c r="B278"/>
      <c r="P278"/>
      <c r="R278"/>
      <c r="S278"/>
      <c r="T278"/>
    </row>
    <row r="279" spans="1:20" ht="17.25" customHeight="1">
      <c r="A279"/>
      <c r="B279"/>
      <c r="P279"/>
      <c r="R279"/>
      <c r="S279"/>
      <c r="T279"/>
    </row>
    <row r="280" spans="1:20" ht="17.25" customHeight="1">
      <c r="A280"/>
      <c r="B280"/>
      <c r="P280"/>
      <c r="R280"/>
      <c r="S280"/>
      <c r="T280"/>
    </row>
    <row r="281" spans="1:20" ht="17.25" customHeight="1">
      <c r="A281"/>
      <c r="B281"/>
      <c r="P281"/>
      <c r="R281"/>
      <c r="S281"/>
      <c r="T281"/>
    </row>
    <row r="282" spans="1:20" ht="17.25" customHeight="1">
      <c r="A282"/>
      <c r="B282"/>
      <c r="P282"/>
      <c r="R282"/>
      <c r="S282"/>
      <c r="T282"/>
    </row>
    <row r="283" spans="1:20" ht="17.25" customHeight="1">
      <c r="A283"/>
      <c r="B283"/>
      <c r="P283"/>
      <c r="R283"/>
      <c r="S283"/>
      <c r="T283"/>
    </row>
    <row r="284" spans="1:20" ht="17.25" customHeight="1">
      <c r="A284"/>
      <c r="B284"/>
      <c r="P284"/>
      <c r="R284"/>
      <c r="S284"/>
      <c r="T284"/>
    </row>
    <row r="285" spans="1:20" ht="17.25" customHeight="1">
      <c r="A285"/>
      <c r="B285"/>
      <c r="P285"/>
      <c r="R285"/>
      <c r="S285"/>
      <c r="T285"/>
    </row>
    <row r="286" spans="1:20" ht="17.25" customHeight="1">
      <c r="A286"/>
      <c r="B286"/>
      <c r="P286"/>
      <c r="R286"/>
      <c r="S286"/>
      <c r="T286"/>
    </row>
    <row r="287" spans="1:20" ht="17.25" customHeight="1">
      <c r="A287"/>
      <c r="B287"/>
      <c r="P287"/>
      <c r="R287"/>
      <c r="S287"/>
      <c r="T287"/>
    </row>
    <row r="288" spans="1:20" ht="17.25" customHeight="1">
      <c r="A288"/>
      <c r="B288"/>
      <c r="P288"/>
      <c r="R288"/>
      <c r="S288"/>
      <c r="T288"/>
    </row>
    <row r="289" spans="1:20" ht="17.25" customHeight="1">
      <c r="A289"/>
      <c r="B289"/>
      <c r="P289"/>
      <c r="R289"/>
      <c r="S289"/>
      <c r="T289"/>
    </row>
    <row r="290" spans="1:20" ht="17.25" customHeight="1">
      <c r="A290"/>
      <c r="B290"/>
      <c r="P290"/>
      <c r="R290"/>
      <c r="S290"/>
      <c r="T290"/>
    </row>
    <row r="291" spans="1:20" ht="17.25" customHeight="1">
      <c r="A291"/>
      <c r="B291"/>
      <c r="P291"/>
      <c r="R291"/>
      <c r="S291"/>
      <c r="T291"/>
    </row>
    <row r="292" spans="1:20" ht="17.25" customHeight="1">
      <c r="A292"/>
      <c r="B292"/>
      <c r="P292"/>
      <c r="R292"/>
      <c r="S292"/>
      <c r="T292"/>
    </row>
    <row r="293" spans="1:20" ht="17.25" customHeight="1">
      <c r="A293"/>
      <c r="B293"/>
      <c r="P293"/>
      <c r="R293"/>
      <c r="S293"/>
      <c r="T293"/>
    </row>
    <row r="294" spans="1:20" ht="17.25" customHeight="1">
      <c r="A294"/>
      <c r="B294"/>
      <c r="P294"/>
      <c r="R294"/>
      <c r="S294"/>
      <c r="T294"/>
    </row>
    <row r="295" spans="1:20" ht="17.25" customHeight="1">
      <c r="A295"/>
      <c r="B295"/>
      <c r="P295"/>
      <c r="R295"/>
      <c r="S295"/>
      <c r="T295"/>
    </row>
    <row r="296" spans="1:20" ht="17.25" customHeight="1">
      <c r="A296"/>
      <c r="B296"/>
      <c r="P296"/>
      <c r="R296"/>
      <c r="S296"/>
      <c r="T296"/>
    </row>
    <row r="297" spans="1:20" ht="17.25" customHeight="1">
      <c r="A297"/>
      <c r="B297"/>
      <c r="P297"/>
      <c r="R297"/>
      <c r="S297"/>
      <c r="T297"/>
    </row>
    <row r="298" spans="1:20" ht="17.25" customHeight="1">
      <c r="A298"/>
      <c r="B298"/>
      <c r="P298"/>
      <c r="R298"/>
      <c r="S298"/>
      <c r="T298"/>
    </row>
    <row r="299" spans="1:20" ht="17.25" customHeight="1">
      <c r="A299"/>
      <c r="B299"/>
      <c r="P299"/>
      <c r="R299"/>
      <c r="S299"/>
      <c r="T299"/>
    </row>
    <row r="300" spans="1:20" ht="17.25" customHeight="1">
      <c r="A300"/>
      <c r="B300"/>
      <c r="P300"/>
      <c r="R300"/>
      <c r="S300"/>
      <c r="T300"/>
    </row>
    <row r="301" spans="1:20" ht="17.25" customHeight="1">
      <c r="A301"/>
      <c r="B301"/>
      <c r="P301"/>
      <c r="R301"/>
      <c r="S301"/>
      <c r="T301"/>
    </row>
    <row r="302" spans="1:20" ht="17.25" customHeight="1">
      <c r="A302"/>
      <c r="B302"/>
      <c r="P302"/>
      <c r="R302"/>
      <c r="S302"/>
      <c r="T302"/>
    </row>
    <row r="303" spans="1:20" ht="17.25" customHeight="1">
      <c r="A303"/>
      <c r="B303"/>
      <c r="P303"/>
      <c r="R303"/>
      <c r="S303"/>
      <c r="T303"/>
    </row>
    <row r="304" spans="1:20" ht="17.25" customHeight="1">
      <c r="A304"/>
      <c r="B304"/>
      <c r="P304"/>
      <c r="R304"/>
      <c r="S304"/>
      <c r="T304"/>
    </row>
    <row r="305" spans="1:20" ht="17.25" customHeight="1">
      <c r="A305"/>
      <c r="B305"/>
      <c r="P305"/>
      <c r="R305"/>
      <c r="S305"/>
      <c r="T305"/>
    </row>
    <row r="306" spans="1:20" ht="17.25" customHeight="1">
      <c r="A306"/>
      <c r="B306"/>
      <c r="P306"/>
      <c r="R306"/>
      <c r="S306"/>
      <c r="T306"/>
    </row>
    <row r="307" spans="1:20" ht="17.25" customHeight="1">
      <c r="A307"/>
      <c r="B307"/>
      <c r="P307"/>
      <c r="R307"/>
      <c r="S307"/>
      <c r="T307"/>
    </row>
    <row r="308" spans="1:20" ht="17.25" customHeight="1">
      <c r="A308"/>
      <c r="B308"/>
      <c r="P308"/>
      <c r="R308"/>
      <c r="S308"/>
      <c r="T308"/>
    </row>
    <row r="309" spans="1:20" ht="17.25" customHeight="1">
      <c r="A309"/>
      <c r="B309"/>
      <c r="P309"/>
      <c r="R309"/>
      <c r="S309"/>
      <c r="T309"/>
    </row>
    <row r="310" spans="1:20" ht="17.25" customHeight="1">
      <c r="A310"/>
      <c r="B310"/>
      <c r="P310"/>
      <c r="R310"/>
      <c r="S310"/>
      <c r="T310"/>
    </row>
    <row r="311" spans="1:20" ht="17.25" customHeight="1">
      <c r="A311"/>
      <c r="B311"/>
      <c r="P311"/>
      <c r="R311"/>
      <c r="S311"/>
      <c r="T311"/>
    </row>
    <row r="312" spans="1:20" ht="17.25" customHeight="1">
      <c r="A312"/>
      <c r="B312"/>
      <c r="P312"/>
      <c r="R312"/>
      <c r="S312"/>
      <c r="T312"/>
    </row>
    <row r="313" spans="1:20" ht="17.25" customHeight="1">
      <c r="A313"/>
      <c r="B313"/>
      <c r="P313"/>
      <c r="R313"/>
      <c r="S313"/>
      <c r="T313"/>
    </row>
    <row r="314" spans="1:20" ht="17.25" customHeight="1">
      <c r="A314"/>
      <c r="B314"/>
      <c r="P314"/>
      <c r="R314"/>
      <c r="S314"/>
      <c r="T314"/>
    </row>
    <row r="315" spans="1:20" ht="17.25" customHeight="1">
      <c r="A315"/>
      <c r="B315"/>
      <c r="P315"/>
      <c r="R315"/>
      <c r="S315"/>
      <c r="T315"/>
    </row>
    <row r="316" spans="1:20" ht="17.25" customHeight="1">
      <c r="A316"/>
      <c r="B316"/>
      <c r="P316"/>
      <c r="R316"/>
      <c r="S316"/>
      <c r="T316"/>
    </row>
    <row r="317" spans="1:20" ht="17.25" customHeight="1">
      <c r="A317"/>
      <c r="B317"/>
      <c r="P317"/>
      <c r="R317"/>
      <c r="S317"/>
      <c r="T317"/>
    </row>
    <row r="318" spans="1:20" ht="17.25" customHeight="1">
      <c r="A318"/>
      <c r="B318"/>
      <c r="P318"/>
      <c r="R318"/>
      <c r="S318"/>
      <c r="T318"/>
    </row>
    <row r="319" spans="1:20" ht="17.25" customHeight="1">
      <c r="A319"/>
      <c r="B319"/>
      <c r="P319"/>
      <c r="R319"/>
      <c r="S319"/>
      <c r="T319"/>
    </row>
    <row r="320" spans="1:20" ht="17.25" customHeight="1">
      <c r="A320"/>
      <c r="B320"/>
      <c r="P320"/>
      <c r="R320"/>
      <c r="S320"/>
      <c r="T320"/>
    </row>
    <row r="321" spans="1:20" ht="17.25" customHeight="1">
      <c r="A321"/>
      <c r="B321"/>
      <c r="P321"/>
      <c r="R321"/>
      <c r="S321"/>
      <c r="T321"/>
    </row>
    <row r="322" spans="1:20" ht="17.25" customHeight="1">
      <c r="A322"/>
      <c r="B322"/>
      <c r="P322"/>
      <c r="R322"/>
      <c r="S322"/>
      <c r="T322"/>
    </row>
    <row r="323" spans="1:20" ht="17.25" customHeight="1">
      <c r="A323"/>
      <c r="B323"/>
      <c r="P323"/>
      <c r="R323"/>
      <c r="S323"/>
      <c r="T323"/>
    </row>
    <row r="324" spans="1:20" ht="17.25" customHeight="1">
      <c r="A324"/>
      <c r="B324"/>
      <c r="P324"/>
      <c r="R324"/>
      <c r="S324"/>
      <c r="T324"/>
    </row>
    <row r="325" spans="1:20" ht="17.25" customHeight="1">
      <c r="A325"/>
      <c r="B325"/>
      <c r="P325"/>
      <c r="R325"/>
      <c r="S325"/>
      <c r="T325"/>
    </row>
    <row r="326" spans="1:20" ht="17.25" customHeight="1">
      <c r="A326"/>
      <c r="B326"/>
      <c r="P326"/>
      <c r="R326"/>
      <c r="S326"/>
      <c r="T326"/>
    </row>
    <row r="327" spans="1:20" ht="17.25" customHeight="1">
      <c r="A327"/>
      <c r="B327"/>
      <c r="P327"/>
      <c r="R327"/>
      <c r="S327"/>
      <c r="T327"/>
    </row>
    <row r="328" spans="1:20" ht="17.25" customHeight="1">
      <c r="A328"/>
      <c r="B328"/>
      <c r="P328"/>
      <c r="R328"/>
      <c r="S328"/>
      <c r="T328"/>
    </row>
    <row r="329" spans="1:20" ht="17.25" customHeight="1">
      <c r="A329"/>
      <c r="B329"/>
      <c r="P329"/>
      <c r="R329"/>
      <c r="S329"/>
      <c r="T329"/>
    </row>
    <row r="330" spans="1:20" ht="17.25" customHeight="1">
      <c r="A330"/>
      <c r="B330"/>
      <c r="P330"/>
      <c r="R330"/>
      <c r="S330"/>
      <c r="T330"/>
    </row>
    <row r="331" spans="1:20" ht="17.25" customHeight="1">
      <c r="A331"/>
      <c r="B331"/>
      <c r="P331"/>
      <c r="R331"/>
      <c r="S331"/>
      <c r="T331"/>
    </row>
    <row r="332" spans="1:20" ht="17.25" customHeight="1">
      <c r="A332"/>
      <c r="B332"/>
      <c r="P332"/>
      <c r="R332"/>
      <c r="S332"/>
      <c r="T332"/>
    </row>
    <row r="333" spans="1:20" ht="17.25" customHeight="1">
      <c r="A333"/>
      <c r="B333"/>
      <c r="P333"/>
      <c r="R333"/>
      <c r="S333"/>
      <c r="T333"/>
    </row>
    <row r="334" spans="1:20" ht="17.25" customHeight="1">
      <c r="A334"/>
      <c r="B334"/>
      <c r="P334"/>
      <c r="R334"/>
      <c r="S334"/>
      <c r="T334"/>
    </row>
    <row r="335" spans="1:20" ht="17.25" customHeight="1">
      <c r="A335"/>
      <c r="B335"/>
      <c r="P335"/>
      <c r="R335"/>
      <c r="S335"/>
      <c r="T335"/>
    </row>
    <row r="336" spans="1:20" ht="17.25" customHeight="1">
      <c r="A336"/>
      <c r="B336"/>
      <c r="P336"/>
      <c r="R336"/>
      <c r="S336"/>
      <c r="T336"/>
    </row>
    <row r="337" spans="1:20" ht="17.25" customHeight="1">
      <c r="A337"/>
      <c r="B337"/>
      <c r="P337"/>
      <c r="R337"/>
      <c r="S337"/>
      <c r="T337"/>
    </row>
    <row r="338" spans="1:20" ht="17.25" customHeight="1">
      <c r="A338"/>
      <c r="B338"/>
      <c r="P338"/>
      <c r="R338"/>
      <c r="S338"/>
      <c r="T338"/>
    </row>
    <row r="339" spans="1:20" ht="17.25" customHeight="1">
      <c r="A339"/>
      <c r="B339"/>
      <c r="P339"/>
      <c r="R339"/>
      <c r="S339"/>
      <c r="T339"/>
    </row>
    <row r="340" spans="1:20" ht="17.25" customHeight="1">
      <c r="A340"/>
      <c r="B340"/>
      <c r="P340"/>
      <c r="R340"/>
      <c r="S340"/>
      <c r="T340"/>
    </row>
    <row r="341" spans="1:20" ht="17.25" customHeight="1">
      <c r="A341"/>
      <c r="B341"/>
      <c r="P341"/>
      <c r="R341"/>
      <c r="S341"/>
      <c r="T341"/>
    </row>
    <row r="342" spans="1:20" ht="17.25" customHeight="1">
      <c r="A342"/>
      <c r="B342"/>
      <c r="P342"/>
      <c r="R342"/>
      <c r="S342"/>
      <c r="T342"/>
    </row>
    <row r="343" spans="1:20" ht="17.25" customHeight="1">
      <c r="A343"/>
      <c r="B343"/>
      <c r="P343"/>
      <c r="R343"/>
      <c r="S343"/>
      <c r="T343"/>
    </row>
    <row r="344" spans="1:20" ht="17.25" customHeight="1">
      <c r="A344"/>
      <c r="B344"/>
      <c r="P344"/>
      <c r="R344"/>
      <c r="S344"/>
      <c r="T344"/>
    </row>
    <row r="345" spans="1:20" ht="17.25" customHeight="1">
      <c r="A345"/>
      <c r="B345"/>
      <c r="P345"/>
      <c r="R345"/>
      <c r="S345"/>
      <c r="T345"/>
    </row>
    <row r="346" spans="1:20" ht="17.25" customHeight="1">
      <c r="A346"/>
      <c r="B346"/>
      <c r="P346"/>
      <c r="R346"/>
      <c r="S346"/>
      <c r="T346"/>
    </row>
    <row r="347" spans="1:20" ht="17.25" customHeight="1">
      <c r="A347"/>
      <c r="B347"/>
      <c r="P347"/>
      <c r="R347"/>
      <c r="S347"/>
      <c r="T347"/>
    </row>
    <row r="348" spans="1:20" ht="17.25" customHeight="1">
      <c r="A348"/>
      <c r="B348"/>
      <c r="P348"/>
      <c r="R348"/>
      <c r="S348"/>
      <c r="T348"/>
    </row>
    <row r="349" spans="1:20" ht="17.25" customHeight="1">
      <c r="A349"/>
      <c r="B349"/>
      <c r="P349"/>
      <c r="R349"/>
      <c r="S349"/>
      <c r="T349"/>
    </row>
    <row r="350" spans="1:20" ht="17.25" customHeight="1">
      <c r="A350"/>
      <c r="B350"/>
      <c r="P350"/>
      <c r="R350"/>
      <c r="S350"/>
      <c r="T350"/>
    </row>
    <row r="351" spans="1:20" ht="17.25" customHeight="1">
      <c r="A351"/>
      <c r="B351"/>
      <c r="P351"/>
      <c r="R351"/>
      <c r="S351"/>
      <c r="T351"/>
    </row>
    <row r="352" spans="1:20" ht="17.25" customHeight="1">
      <c r="A352"/>
      <c r="B352"/>
      <c r="P352"/>
      <c r="R352"/>
      <c r="S352"/>
      <c r="T352"/>
    </row>
    <row r="353" spans="1:20" ht="17.25" customHeight="1">
      <c r="A353"/>
      <c r="B353"/>
      <c r="P353"/>
      <c r="R353"/>
      <c r="S353"/>
      <c r="T353"/>
    </row>
    <row r="354" spans="1:20" ht="17.25" customHeight="1">
      <c r="A354"/>
      <c r="B354"/>
      <c r="P354"/>
      <c r="R354"/>
      <c r="S354"/>
      <c r="T354"/>
    </row>
    <row r="355" spans="1:20" ht="17.25" customHeight="1">
      <c r="A355"/>
      <c r="B355"/>
      <c r="P355"/>
      <c r="R355"/>
      <c r="S355"/>
      <c r="T355"/>
    </row>
    <row r="356" spans="1:20" ht="17.25" customHeight="1">
      <c r="A356"/>
      <c r="B356"/>
      <c r="P356"/>
      <c r="R356"/>
      <c r="S356"/>
      <c r="T356"/>
    </row>
    <row r="357" spans="1:20" ht="17.25" customHeight="1">
      <c r="A357"/>
      <c r="B357"/>
      <c r="P357"/>
      <c r="R357"/>
      <c r="S357"/>
      <c r="T357"/>
    </row>
    <row r="358" spans="1:20" ht="17.25" customHeight="1">
      <c r="A358"/>
      <c r="B358"/>
      <c r="P358"/>
      <c r="R358"/>
      <c r="S358"/>
      <c r="T358"/>
    </row>
    <row r="359" spans="1:20" ht="17.25" customHeight="1">
      <c r="A359"/>
      <c r="B359"/>
      <c r="P359"/>
      <c r="R359"/>
      <c r="S359"/>
      <c r="T359"/>
    </row>
    <row r="360" spans="1:20" ht="17.25" customHeight="1">
      <c r="A360"/>
      <c r="B360"/>
      <c r="P360"/>
      <c r="R360"/>
      <c r="S360"/>
      <c r="T360"/>
    </row>
    <row r="361" spans="1:20" ht="17.25" customHeight="1">
      <c r="A361"/>
      <c r="B361"/>
      <c r="P361"/>
      <c r="R361"/>
      <c r="S361"/>
      <c r="T361"/>
    </row>
    <row r="362" spans="1:20" ht="17.25" customHeight="1">
      <c r="A362"/>
      <c r="B362"/>
      <c r="P362"/>
      <c r="R362"/>
      <c r="S362"/>
      <c r="T362"/>
    </row>
    <row r="363" spans="1:20" ht="17.25" customHeight="1">
      <c r="A363"/>
      <c r="B363"/>
      <c r="P363"/>
      <c r="R363"/>
      <c r="S363"/>
      <c r="T363"/>
    </row>
    <row r="364" spans="1:20" ht="17.25" customHeight="1">
      <c r="A364"/>
      <c r="B364"/>
      <c r="P364"/>
      <c r="R364"/>
      <c r="S364"/>
      <c r="T364"/>
    </row>
    <row r="365" spans="1:20" ht="17.25" customHeight="1">
      <c r="A365"/>
      <c r="B365"/>
      <c r="P365"/>
      <c r="R365"/>
      <c r="S365"/>
      <c r="T365"/>
    </row>
    <row r="366" spans="1:20" ht="17.25" customHeight="1">
      <c r="A366"/>
      <c r="B366"/>
      <c r="P366"/>
      <c r="R366"/>
      <c r="S366"/>
      <c r="T366"/>
    </row>
    <row r="367" spans="1:20" ht="17.25" customHeight="1">
      <c r="A367"/>
      <c r="B367"/>
      <c r="P367"/>
      <c r="R367"/>
      <c r="S367"/>
      <c r="T367"/>
    </row>
    <row r="368" spans="1:20" ht="17.25" customHeight="1">
      <c r="A368"/>
      <c r="B368"/>
      <c r="P368"/>
      <c r="R368"/>
      <c r="S368"/>
      <c r="T368"/>
    </row>
    <row r="369" spans="1:20" ht="17.25" customHeight="1">
      <c r="A369"/>
      <c r="B369"/>
      <c r="P369"/>
      <c r="R369"/>
      <c r="S369"/>
      <c r="T369"/>
    </row>
    <row r="370" spans="1:20" ht="17.25" customHeight="1">
      <c r="A370"/>
      <c r="B370"/>
      <c r="P370"/>
      <c r="R370"/>
      <c r="S370"/>
      <c r="T370"/>
    </row>
    <row r="371" spans="1:20" ht="17.25" customHeight="1">
      <c r="A371"/>
      <c r="B371"/>
      <c r="P371"/>
      <c r="R371"/>
      <c r="S371"/>
      <c r="T371"/>
    </row>
    <row r="372" spans="1:20" ht="17.25" customHeight="1">
      <c r="A372"/>
      <c r="B372"/>
      <c r="P372"/>
      <c r="R372"/>
      <c r="S372"/>
      <c r="T372"/>
    </row>
    <row r="373" spans="1:20" ht="17.25" customHeight="1">
      <c r="A373"/>
      <c r="B373"/>
      <c r="P373"/>
      <c r="R373"/>
      <c r="S373"/>
      <c r="T373"/>
    </row>
    <row r="374" spans="1:20" ht="17.25" customHeight="1">
      <c r="A374"/>
      <c r="B374"/>
      <c r="P374"/>
      <c r="R374"/>
      <c r="S374"/>
      <c r="T374"/>
    </row>
    <row r="375" spans="1:20" ht="17.25" customHeight="1">
      <c r="A375"/>
      <c r="B375"/>
      <c r="P375"/>
      <c r="R375"/>
      <c r="S375"/>
      <c r="T375"/>
    </row>
    <row r="376" spans="1:20" ht="17.25" customHeight="1">
      <c r="A376"/>
      <c r="B376"/>
      <c r="P376"/>
      <c r="R376"/>
      <c r="S376"/>
      <c r="T376"/>
    </row>
    <row r="377" spans="1:20" ht="17.25" customHeight="1">
      <c r="A377"/>
      <c r="B377"/>
      <c r="P377"/>
      <c r="R377"/>
      <c r="S377"/>
      <c r="T377"/>
    </row>
    <row r="378" spans="1:20" ht="17.25" customHeight="1">
      <c r="A378"/>
      <c r="B378"/>
      <c r="P378"/>
      <c r="R378"/>
      <c r="S378"/>
      <c r="T378"/>
    </row>
    <row r="379" spans="1:20" ht="17.25" customHeight="1">
      <c r="A379"/>
      <c r="B379"/>
      <c r="P379"/>
      <c r="R379"/>
      <c r="S379"/>
      <c r="T379"/>
    </row>
    <row r="380" spans="1:20" ht="17.25" customHeight="1">
      <c r="A380"/>
      <c r="B380"/>
      <c r="P380"/>
      <c r="R380"/>
      <c r="S380"/>
      <c r="T380"/>
    </row>
    <row r="381" spans="1:20" ht="17.25" customHeight="1">
      <c r="A381"/>
      <c r="B381"/>
      <c r="P381"/>
      <c r="R381"/>
      <c r="S381"/>
      <c r="T381"/>
    </row>
    <row r="382" spans="1:20" ht="17.25" customHeight="1">
      <c r="A382"/>
      <c r="B382"/>
      <c r="P382"/>
      <c r="R382"/>
      <c r="S382"/>
      <c r="T382"/>
    </row>
    <row r="383" spans="1:20" ht="17.25" customHeight="1">
      <c r="A383"/>
      <c r="B383"/>
      <c r="P383"/>
      <c r="R383"/>
      <c r="S383"/>
      <c r="T383"/>
    </row>
    <row r="384" spans="1:20" ht="17.25" customHeight="1">
      <c r="A384"/>
      <c r="B384"/>
      <c r="P384"/>
      <c r="R384"/>
      <c r="S384"/>
      <c r="T384"/>
    </row>
    <row r="385" spans="1:20" ht="17.25" customHeight="1">
      <c r="A385"/>
      <c r="B385"/>
      <c r="P385"/>
      <c r="R385"/>
      <c r="S385"/>
      <c r="T385"/>
    </row>
    <row r="386" spans="1:20" ht="17.25" customHeight="1">
      <c r="A386"/>
      <c r="B386"/>
      <c r="P386"/>
      <c r="R386"/>
      <c r="S386"/>
      <c r="T386"/>
    </row>
    <row r="387" spans="1:20" ht="17.25" customHeight="1">
      <c r="A387"/>
      <c r="B387"/>
      <c r="P387"/>
      <c r="R387"/>
      <c r="S387"/>
      <c r="T387"/>
    </row>
    <row r="388" spans="1:20" ht="17.25" customHeight="1">
      <c r="A388"/>
      <c r="B388"/>
      <c r="P388"/>
      <c r="R388"/>
      <c r="S388"/>
      <c r="T388"/>
    </row>
    <row r="389" spans="1:20" ht="17.25" customHeight="1">
      <c r="A389"/>
      <c r="B389"/>
      <c r="P389"/>
      <c r="R389"/>
      <c r="S389"/>
      <c r="T389"/>
    </row>
    <row r="390" spans="1:20" ht="17.25" customHeight="1">
      <c r="A390"/>
      <c r="B390"/>
      <c r="P390"/>
      <c r="R390"/>
      <c r="S390"/>
      <c r="T390"/>
    </row>
    <row r="391" spans="1:20" ht="17.25" customHeight="1">
      <c r="A391"/>
      <c r="B391"/>
      <c r="P391"/>
      <c r="R391"/>
      <c r="S391"/>
      <c r="T391"/>
    </row>
    <row r="392" spans="1:20" ht="17.25" customHeight="1">
      <c r="A392"/>
      <c r="B392"/>
      <c r="P392"/>
      <c r="R392"/>
      <c r="S392"/>
      <c r="T392"/>
    </row>
    <row r="393" spans="1:20" ht="17.25" customHeight="1">
      <c r="A393"/>
      <c r="B393"/>
      <c r="P393"/>
      <c r="R393"/>
      <c r="S393"/>
      <c r="T393"/>
    </row>
    <row r="394" spans="1:20" ht="17.25" customHeight="1">
      <c r="A394"/>
      <c r="B394"/>
      <c r="P394"/>
      <c r="R394"/>
      <c r="S394"/>
      <c r="T394"/>
    </row>
    <row r="395" spans="1:20" ht="17.25" customHeight="1">
      <c r="A395"/>
      <c r="B395"/>
      <c r="P395"/>
      <c r="R395"/>
      <c r="S395"/>
      <c r="T395"/>
    </row>
    <row r="396" spans="1:20" ht="17.25" customHeight="1">
      <c r="A396"/>
      <c r="B396"/>
      <c r="P396"/>
      <c r="R396"/>
      <c r="S396"/>
      <c r="T396"/>
    </row>
    <row r="397" spans="1:20" ht="17.25" customHeight="1">
      <c r="A397"/>
      <c r="B397"/>
      <c r="P397"/>
      <c r="R397"/>
      <c r="S397"/>
      <c r="T397"/>
    </row>
    <row r="398" spans="1:20" ht="17.25" customHeight="1">
      <c r="A398"/>
      <c r="B398"/>
      <c r="P398"/>
      <c r="R398"/>
      <c r="S398"/>
      <c r="T398"/>
    </row>
    <row r="399" spans="1:20" ht="17.25" customHeight="1">
      <c r="A399"/>
      <c r="B399"/>
      <c r="P399"/>
      <c r="R399"/>
      <c r="S399"/>
      <c r="T399"/>
    </row>
    <row r="400" spans="1:20" ht="17.25" customHeight="1">
      <c r="A400"/>
      <c r="B400"/>
      <c r="P400"/>
      <c r="R400"/>
      <c r="S400"/>
      <c r="T400"/>
    </row>
    <row r="401" spans="1:20" ht="17.25" customHeight="1">
      <c r="A401"/>
      <c r="B401"/>
      <c r="P401"/>
      <c r="R401"/>
      <c r="S401"/>
      <c r="T401"/>
    </row>
    <row r="402" spans="1:20" ht="17.25" customHeight="1">
      <c r="A402"/>
      <c r="B402"/>
      <c r="P402"/>
      <c r="R402"/>
      <c r="S402"/>
      <c r="T402"/>
    </row>
    <row r="403" spans="1:20" ht="17.25" customHeight="1">
      <c r="A403"/>
      <c r="B403"/>
      <c r="P403"/>
      <c r="R403"/>
      <c r="S403"/>
      <c r="T403"/>
    </row>
    <row r="404" spans="1:20" ht="17.25" customHeight="1">
      <c r="A404"/>
      <c r="B404"/>
      <c r="P404"/>
      <c r="R404"/>
      <c r="S404"/>
      <c r="T404"/>
    </row>
    <row r="405" spans="1:20" ht="17.25" customHeight="1">
      <c r="A405"/>
      <c r="B405"/>
      <c r="P405"/>
      <c r="R405"/>
      <c r="S405"/>
      <c r="T405"/>
    </row>
    <row r="406" spans="1:20" ht="17.25" customHeight="1">
      <c r="A406"/>
      <c r="B406"/>
      <c r="P406"/>
      <c r="R406"/>
      <c r="S406"/>
      <c r="T406"/>
    </row>
    <row r="407" spans="1:20" ht="17.25" customHeight="1">
      <c r="A407"/>
      <c r="B407"/>
      <c r="P407"/>
      <c r="R407"/>
      <c r="S407"/>
      <c r="T407"/>
    </row>
    <row r="408" spans="1:20" ht="17.25" customHeight="1">
      <c r="A408"/>
      <c r="B408"/>
      <c r="P408"/>
      <c r="R408"/>
      <c r="S408"/>
      <c r="T408"/>
    </row>
    <row r="409" spans="1:20" ht="17.25" customHeight="1">
      <c r="A409"/>
      <c r="B409"/>
      <c r="P409"/>
      <c r="R409"/>
      <c r="S409"/>
      <c r="T409"/>
    </row>
    <row r="410" spans="1:20" ht="17.25" customHeight="1">
      <c r="A410"/>
      <c r="B410"/>
      <c r="P410"/>
      <c r="R410"/>
      <c r="S410"/>
      <c r="T410"/>
    </row>
    <row r="411" spans="1:20" ht="17.25" customHeight="1">
      <c r="A411"/>
      <c r="B411"/>
      <c r="P411"/>
      <c r="R411"/>
      <c r="S411"/>
      <c r="T411"/>
    </row>
    <row r="412" spans="1:20" ht="17.25" customHeight="1">
      <c r="A412"/>
      <c r="B412"/>
      <c r="P412"/>
      <c r="R412"/>
      <c r="S412"/>
      <c r="T412"/>
    </row>
    <row r="413" spans="1:20" ht="17.25" customHeight="1">
      <c r="A413"/>
      <c r="B413"/>
      <c r="P413"/>
      <c r="R413"/>
      <c r="S413"/>
      <c r="T413"/>
    </row>
    <row r="414" spans="1:20" ht="17.25" customHeight="1">
      <c r="A414"/>
      <c r="B414"/>
      <c r="P414"/>
      <c r="R414"/>
      <c r="S414"/>
      <c r="T414"/>
    </row>
    <row r="415" spans="1:20" ht="17.25" customHeight="1">
      <c r="A415"/>
      <c r="B415"/>
      <c r="P415"/>
      <c r="R415"/>
      <c r="S415"/>
      <c r="T415"/>
    </row>
    <row r="416" spans="1:20" ht="17.25" customHeight="1">
      <c r="A416"/>
      <c r="B416"/>
      <c r="P416"/>
      <c r="R416"/>
      <c r="S416"/>
      <c r="T416"/>
    </row>
    <row r="417" spans="1:20" ht="17.25" customHeight="1">
      <c r="A417"/>
      <c r="B417"/>
      <c r="P417"/>
      <c r="R417"/>
      <c r="S417"/>
      <c r="T417"/>
    </row>
    <row r="418" spans="1:20" ht="17.25" customHeight="1">
      <c r="A418"/>
      <c r="B418"/>
      <c r="P418"/>
      <c r="R418"/>
      <c r="S418"/>
      <c r="T418"/>
    </row>
    <row r="419" spans="1:20" ht="17.25" customHeight="1">
      <c r="A419"/>
      <c r="B419"/>
      <c r="P419"/>
      <c r="R419"/>
      <c r="S419"/>
      <c r="T419"/>
    </row>
    <row r="420" spans="1:20" ht="17.25" customHeight="1">
      <c r="A420"/>
      <c r="B420"/>
      <c r="P420"/>
      <c r="R420"/>
      <c r="S420"/>
      <c r="T420"/>
    </row>
    <row r="421" spans="1:20" ht="17.25" customHeight="1">
      <c r="A421"/>
      <c r="B421"/>
      <c r="P421"/>
      <c r="R421"/>
      <c r="S421"/>
      <c r="T421"/>
    </row>
    <row r="422" spans="1:20" ht="17.25" customHeight="1">
      <c r="A422"/>
      <c r="B422"/>
      <c r="P422"/>
      <c r="R422"/>
      <c r="S422"/>
      <c r="T422"/>
    </row>
    <row r="423" spans="1:20" ht="17.25" customHeight="1">
      <c r="A423"/>
      <c r="B423"/>
      <c r="P423"/>
      <c r="R423"/>
      <c r="S423"/>
      <c r="T423"/>
    </row>
    <row r="424" spans="1:20" ht="17.25" customHeight="1">
      <c r="A424"/>
      <c r="B424"/>
      <c r="P424"/>
      <c r="R424"/>
      <c r="S424"/>
      <c r="T424"/>
    </row>
    <row r="425" spans="1:20" ht="17.25" customHeight="1">
      <c r="A425"/>
      <c r="B425"/>
      <c r="P425"/>
      <c r="R425"/>
      <c r="S425"/>
      <c r="T425"/>
    </row>
    <row r="426" spans="1:20" ht="17.25" customHeight="1">
      <c r="A426"/>
      <c r="B426"/>
      <c r="P426"/>
      <c r="R426"/>
      <c r="S426"/>
      <c r="T426"/>
    </row>
    <row r="427" spans="1:20" ht="17.25" customHeight="1">
      <c r="A427"/>
      <c r="B427"/>
      <c r="P427"/>
      <c r="R427"/>
      <c r="S427"/>
      <c r="T427"/>
    </row>
    <row r="428" spans="1:20" ht="17.25" customHeight="1">
      <c r="A428"/>
      <c r="B428"/>
      <c r="P428"/>
      <c r="R428"/>
      <c r="S428"/>
      <c r="T428"/>
    </row>
    <row r="429" spans="1:20" ht="17.25" customHeight="1">
      <c r="A429"/>
      <c r="B429"/>
      <c r="P429"/>
      <c r="R429"/>
      <c r="S429"/>
      <c r="T429"/>
    </row>
    <row r="430" spans="1:20" ht="17.25" customHeight="1">
      <c r="A430"/>
      <c r="B430"/>
      <c r="P430"/>
      <c r="R430"/>
      <c r="S430"/>
      <c r="T430"/>
    </row>
    <row r="431" spans="1:20" ht="17.25" customHeight="1">
      <c r="A431"/>
      <c r="B431"/>
      <c r="P431"/>
      <c r="R431"/>
      <c r="S431"/>
      <c r="T431"/>
    </row>
    <row r="432" spans="1:20" ht="17.25" customHeight="1">
      <c r="A432"/>
      <c r="B432"/>
      <c r="P432"/>
      <c r="R432"/>
      <c r="S432"/>
      <c r="T432"/>
    </row>
    <row r="433" spans="1:20" ht="17.25" customHeight="1">
      <c r="A433"/>
      <c r="B433"/>
      <c r="P433"/>
      <c r="R433"/>
      <c r="S433"/>
      <c r="T433"/>
    </row>
    <row r="434" spans="1:20" ht="17.25" customHeight="1">
      <c r="A434"/>
      <c r="B434"/>
      <c r="P434"/>
      <c r="R434"/>
      <c r="S434"/>
      <c r="T434"/>
    </row>
    <row r="435" spans="1:20" ht="17.25" customHeight="1">
      <c r="A435"/>
      <c r="B435"/>
      <c r="P435"/>
      <c r="R435"/>
      <c r="S435"/>
      <c r="T435"/>
    </row>
    <row r="436" spans="1:20" ht="17.25" customHeight="1">
      <c r="A436"/>
      <c r="B436"/>
      <c r="P436"/>
      <c r="R436"/>
      <c r="S436"/>
      <c r="T436"/>
    </row>
    <row r="437" spans="1:20" ht="17.25" customHeight="1">
      <c r="A437"/>
      <c r="B437"/>
      <c r="P437"/>
      <c r="R437"/>
      <c r="S437"/>
      <c r="T437"/>
    </row>
    <row r="438" spans="1:20" ht="17.25" customHeight="1">
      <c r="A438"/>
      <c r="B438"/>
      <c r="P438"/>
      <c r="R438"/>
      <c r="S438"/>
      <c r="T438"/>
    </row>
    <row r="439" spans="1:20" ht="17.25" customHeight="1">
      <c r="A439"/>
      <c r="B439"/>
      <c r="P439"/>
      <c r="R439"/>
      <c r="S439"/>
      <c r="T439"/>
    </row>
    <row r="440" spans="1:20" ht="17.25" customHeight="1">
      <c r="A440"/>
      <c r="B440"/>
      <c r="P440"/>
      <c r="R440"/>
      <c r="S440"/>
      <c r="T440"/>
    </row>
    <row r="441" spans="1:20" ht="17.25" customHeight="1">
      <c r="A441"/>
      <c r="B441"/>
      <c r="P441"/>
      <c r="R441"/>
      <c r="S441"/>
      <c r="T441"/>
    </row>
    <row r="442" spans="1:20" ht="17.25" customHeight="1">
      <c r="A442"/>
      <c r="B442"/>
      <c r="P442"/>
      <c r="R442"/>
      <c r="S442"/>
      <c r="T442"/>
    </row>
    <row r="443" spans="1:20" ht="17.25" customHeight="1">
      <c r="A443"/>
      <c r="B443"/>
      <c r="P443"/>
      <c r="R443"/>
      <c r="S443"/>
      <c r="T443"/>
    </row>
    <row r="444" spans="1:20" ht="17.25" customHeight="1">
      <c r="A444"/>
      <c r="B444"/>
      <c r="P444"/>
      <c r="R444"/>
      <c r="S444"/>
      <c r="T444"/>
    </row>
    <row r="445" spans="1:20" ht="17.25" customHeight="1">
      <c r="A445"/>
      <c r="B445"/>
      <c r="P445"/>
      <c r="R445"/>
      <c r="S445"/>
      <c r="T445"/>
    </row>
    <row r="446" spans="1:20" ht="17.25" customHeight="1">
      <c r="A446"/>
      <c r="B446"/>
      <c r="P446"/>
      <c r="R446"/>
      <c r="S446"/>
      <c r="T446"/>
    </row>
    <row r="447" spans="1:20" ht="17.25" customHeight="1">
      <c r="A447"/>
      <c r="B447"/>
      <c r="P447"/>
      <c r="R447"/>
      <c r="S447"/>
      <c r="T447"/>
    </row>
    <row r="448" spans="1:20" ht="17.25" customHeight="1">
      <c r="A448"/>
      <c r="B448"/>
      <c r="P448"/>
      <c r="R448"/>
      <c r="S448"/>
      <c r="T448"/>
    </row>
    <row r="449" spans="1:20" ht="17.25" customHeight="1">
      <c r="A449"/>
      <c r="B449"/>
      <c r="P449"/>
      <c r="R449"/>
      <c r="S449"/>
      <c r="T449"/>
    </row>
    <row r="450" spans="1:20" ht="17.25" customHeight="1">
      <c r="A450"/>
      <c r="B450"/>
      <c r="P450"/>
      <c r="R450"/>
      <c r="S450"/>
      <c r="T450"/>
    </row>
    <row r="451" spans="1:20" ht="17.25" customHeight="1">
      <c r="A451"/>
      <c r="B451"/>
      <c r="P451"/>
      <c r="R451"/>
      <c r="S451"/>
      <c r="T451"/>
    </row>
    <row r="452" spans="1:20" ht="17.25" customHeight="1">
      <c r="A452"/>
      <c r="B452"/>
      <c r="P452"/>
      <c r="R452"/>
      <c r="S452"/>
      <c r="T452"/>
    </row>
    <row r="453" spans="1:20" ht="17.25" customHeight="1">
      <c r="A453"/>
      <c r="B453"/>
      <c r="P453"/>
      <c r="R453"/>
      <c r="S453"/>
      <c r="T453"/>
    </row>
    <row r="454" spans="1:20" ht="17.25" customHeight="1">
      <c r="A454"/>
      <c r="B454"/>
      <c r="P454"/>
      <c r="R454"/>
      <c r="S454"/>
      <c r="T454"/>
    </row>
    <row r="455" spans="1:20" ht="17.25" customHeight="1">
      <c r="A455"/>
      <c r="B455"/>
      <c r="P455"/>
      <c r="R455"/>
      <c r="S455"/>
      <c r="T455"/>
    </row>
    <row r="456" spans="1:20" ht="17.25" customHeight="1">
      <c r="A456"/>
      <c r="B456"/>
      <c r="P456"/>
      <c r="R456"/>
      <c r="S456"/>
      <c r="T456"/>
    </row>
    <row r="457" spans="1:20" ht="17.25" customHeight="1">
      <c r="A457"/>
      <c r="B457"/>
      <c r="P457"/>
      <c r="R457"/>
      <c r="S457"/>
      <c r="T457"/>
    </row>
    <row r="458" spans="1:20" ht="17.25" customHeight="1">
      <c r="A458"/>
      <c r="B458"/>
      <c r="P458"/>
      <c r="R458"/>
      <c r="S458"/>
      <c r="T458"/>
    </row>
    <row r="459" spans="1:20" ht="17.25" customHeight="1">
      <c r="A459"/>
      <c r="B459"/>
      <c r="P459"/>
      <c r="R459"/>
      <c r="S459"/>
      <c r="T459"/>
    </row>
    <row r="460" spans="1:20" ht="17.25" customHeight="1">
      <c r="A460"/>
      <c r="B460"/>
      <c r="P460"/>
      <c r="R460"/>
      <c r="S460"/>
      <c r="T460"/>
    </row>
    <row r="461" spans="1:20" ht="17.25" customHeight="1">
      <c r="A461"/>
      <c r="B461"/>
      <c r="P461"/>
      <c r="R461"/>
      <c r="S461"/>
      <c r="T461"/>
    </row>
    <row r="462" spans="1:20" ht="17.25" customHeight="1">
      <c r="A462"/>
      <c r="B462"/>
      <c r="P462"/>
      <c r="R462"/>
      <c r="S462"/>
      <c r="T462"/>
    </row>
    <row r="463" spans="1:20" ht="17.25" customHeight="1">
      <c r="A463"/>
      <c r="B463"/>
      <c r="P463"/>
      <c r="R463"/>
      <c r="S463"/>
      <c r="T463"/>
    </row>
    <row r="464" spans="1:20" ht="17.25" customHeight="1">
      <c r="A464"/>
      <c r="B464"/>
      <c r="P464"/>
      <c r="R464"/>
      <c r="S464"/>
      <c r="T464"/>
    </row>
    <row r="465" spans="1:20" ht="17.25" customHeight="1">
      <c r="A465"/>
      <c r="B465"/>
      <c r="P465"/>
      <c r="R465"/>
      <c r="S465"/>
      <c r="T465"/>
    </row>
    <row r="466" spans="1:20" ht="17.25" customHeight="1">
      <c r="A466"/>
      <c r="B466"/>
      <c r="P466"/>
      <c r="R466"/>
      <c r="S466"/>
      <c r="T466"/>
    </row>
    <row r="467" spans="1:20" ht="17.25" customHeight="1">
      <c r="A467"/>
      <c r="B467"/>
      <c r="P467"/>
      <c r="R467"/>
      <c r="S467"/>
      <c r="T467"/>
    </row>
    <row r="468" spans="1:20" ht="17.25" customHeight="1">
      <c r="A468"/>
      <c r="B468"/>
      <c r="P468"/>
      <c r="R468"/>
      <c r="S468"/>
      <c r="T468"/>
    </row>
    <row r="469" spans="1:20" ht="17.25" customHeight="1">
      <c r="A469"/>
      <c r="B469"/>
      <c r="P469"/>
      <c r="R469"/>
      <c r="S469"/>
      <c r="T469"/>
    </row>
    <row r="470" spans="1:20" ht="17.25" customHeight="1">
      <c r="A470"/>
      <c r="B470"/>
      <c r="P470"/>
      <c r="R470"/>
      <c r="S470"/>
      <c r="T470"/>
    </row>
    <row r="471" spans="1:20" ht="17.25" customHeight="1">
      <c r="A471"/>
      <c r="B471"/>
      <c r="P471"/>
      <c r="R471"/>
      <c r="S471"/>
      <c r="T471"/>
    </row>
    <row r="472" spans="1:20" ht="17.25" customHeight="1">
      <c r="A472"/>
      <c r="B472"/>
      <c r="P472"/>
      <c r="R472"/>
      <c r="S472"/>
      <c r="T472"/>
    </row>
    <row r="473" spans="1:20" ht="17.25" customHeight="1">
      <c r="A473"/>
      <c r="B473"/>
      <c r="P473"/>
      <c r="R473"/>
      <c r="S473"/>
      <c r="T473"/>
    </row>
    <row r="474" spans="1:20" ht="17.25" customHeight="1">
      <c r="A474"/>
      <c r="B474"/>
      <c r="P474"/>
      <c r="R474"/>
      <c r="S474"/>
      <c r="T474"/>
    </row>
    <row r="475" spans="1:20" ht="17.25" customHeight="1">
      <c r="A475"/>
      <c r="B475"/>
      <c r="P475"/>
      <c r="R475"/>
      <c r="S475"/>
      <c r="T475"/>
    </row>
    <row r="476" spans="1:20" ht="17.25" customHeight="1">
      <c r="A476"/>
      <c r="B476"/>
      <c r="P476"/>
      <c r="R476"/>
      <c r="S476"/>
      <c r="T476"/>
    </row>
    <row r="477" spans="1:20" ht="17.25" customHeight="1">
      <c r="A477"/>
      <c r="B477"/>
      <c r="P477"/>
      <c r="R477"/>
      <c r="S477"/>
      <c r="T477"/>
    </row>
    <row r="478" spans="1:20" ht="17.25" customHeight="1">
      <c r="A478"/>
      <c r="B478"/>
      <c r="P478"/>
      <c r="R478"/>
      <c r="S478"/>
      <c r="T478"/>
    </row>
    <row r="479" spans="1:20" ht="17.25" customHeight="1">
      <c r="A479"/>
      <c r="B479"/>
      <c r="P479"/>
      <c r="R479"/>
      <c r="S479"/>
      <c r="T479"/>
    </row>
    <row r="480" spans="1:20" ht="17.25" customHeight="1">
      <c r="A480"/>
      <c r="B480"/>
      <c r="P480"/>
      <c r="R480"/>
      <c r="S480"/>
      <c r="T480"/>
    </row>
    <row r="481" spans="1:20" ht="17.25" customHeight="1">
      <c r="A481"/>
      <c r="B481"/>
      <c r="P481"/>
      <c r="R481"/>
      <c r="S481"/>
      <c r="T481"/>
    </row>
    <row r="482" spans="1:20" ht="17.25" customHeight="1">
      <c r="A482"/>
      <c r="B482"/>
      <c r="P482"/>
      <c r="R482"/>
      <c r="S482"/>
      <c r="T482"/>
    </row>
    <row r="483" spans="1:20" ht="17.25" customHeight="1">
      <c r="A483"/>
      <c r="B483"/>
      <c r="P483"/>
      <c r="R483"/>
      <c r="S483"/>
      <c r="T483"/>
    </row>
    <row r="484" spans="1:20" ht="17.25" customHeight="1">
      <c r="A484"/>
      <c r="B484"/>
      <c r="P484"/>
      <c r="R484"/>
      <c r="S484"/>
      <c r="T484"/>
    </row>
    <row r="485" spans="1:20" ht="17.25" customHeight="1">
      <c r="A485"/>
      <c r="B485"/>
      <c r="P485"/>
      <c r="R485"/>
      <c r="S485"/>
      <c r="T485"/>
    </row>
    <row r="486" spans="1:20" ht="17.25" customHeight="1">
      <c r="A486"/>
      <c r="B486"/>
      <c r="P486"/>
      <c r="R486"/>
      <c r="S486"/>
      <c r="T486"/>
    </row>
    <row r="487" spans="1:20" ht="17.25" customHeight="1">
      <c r="A487"/>
      <c r="B487"/>
      <c r="P487"/>
      <c r="R487"/>
      <c r="S487"/>
      <c r="T487"/>
    </row>
    <row r="488" spans="1:20" ht="17.25" customHeight="1">
      <c r="A488"/>
      <c r="B488"/>
      <c r="P488"/>
      <c r="R488"/>
      <c r="S488"/>
      <c r="T488"/>
    </row>
    <row r="489" spans="1:20" ht="17.25" customHeight="1">
      <c r="A489"/>
      <c r="B489"/>
      <c r="P489"/>
      <c r="R489"/>
      <c r="S489"/>
      <c r="T489"/>
    </row>
    <row r="490" spans="1:20" ht="17.25" customHeight="1">
      <c r="A490"/>
      <c r="B490"/>
      <c r="P490"/>
      <c r="R490"/>
      <c r="S490"/>
      <c r="T490"/>
    </row>
    <row r="491" spans="1:20" ht="17.25" customHeight="1">
      <c r="A491"/>
      <c r="B491"/>
      <c r="P491"/>
      <c r="R491"/>
      <c r="S491"/>
      <c r="T491"/>
    </row>
    <row r="492" spans="1:20" ht="17.25" customHeight="1">
      <c r="A492"/>
      <c r="B492"/>
      <c r="P492"/>
      <c r="R492"/>
      <c r="S492"/>
      <c r="T492"/>
    </row>
    <row r="493" spans="1:20" ht="17.25" customHeight="1">
      <c r="A493"/>
      <c r="B493"/>
      <c r="P493"/>
      <c r="R493"/>
      <c r="S493"/>
      <c r="T493"/>
    </row>
    <row r="494" spans="1:20" ht="17.25" customHeight="1">
      <c r="A494"/>
      <c r="B494"/>
      <c r="P494"/>
      <c r="R494"/>
      <c r="S494"/>
      <c r="T494"/>
    </row>
    <row r="495" spans="1:20" ht="17.25" customHeight="1">
      <c r="A495"/>
      <c r="B495"/>
      <c r="P495"/>
      <c r="R495"/>
      <c r="S495"/>
      <c r="T495"/>
    </row>
    <row r="496" spans="1:20" ht="17.25" customHeight="1">
      <c r="A496"/>
      <c r="B496"/>
      <c r="P496"/>
      <c r="R496"/>
      <c r="S496"/>
      <c r="T496"/>
    </row>
    <row r="497" spans="1:20" ht="17.25" customHeight="1">
      <c r="A497"/>
      <c r="B497"/>
      <c r="P497"/>
      <c r="R497"/>
      <c r="S497"/>
      <c r="T497"/>
    </row>
    <row r="498" spans="1:20" ht="17.25" customHeight="1">
      <c r="A498"/>
      <c r="B498"/>
      <c r="P498"/>
      <c r="R498"/>
      <c r="S498"/>
      <c r="T498"/>
    </row>
    <row r="499" spans="1:20" ht="17.25" customHeight="1">
      <c r="A499"/>
      <c r="B499"/>
      <c r="P499"/>
      <c r="R499"/>
      <c r="S499"/>
      <c r="T499"/>
    </row>
    <row r="500" spans="1:20" ht="17.25" customHeight="1">
      <c r="A500"/>
      <c r="B500"/>
      <c r="P500"/>
      <c r="R500"/>
      <c r="S500"/>
      <c r="T500"/>
    </row>
    <row r="501" spans="1:20" ht="17.25" customHeight="1">
      <c r="A501"/>
      <c r="B501"/>
      <c r="P501"/>
      <c r="R501"/>
      <c r="S501"/>
      <c r="T501"/>
    </row>
    <row r="502" spans="1:20" ht="17.25" customHeight="1">
      <c r="A502"/>
      <c r="B502"/>
      <c r="P502"/>
      <c r="R502"/>
      <c r="S502"/>
      <c r="T502"/>
    </row>
    <row r="503" spans="1:20" ht="17.25" customHeight="1">
      <c r="A503"/>
      <c r="B503"/>
      <c r="P503"/>
      <c r="R503"/>
      <c r="S503"/>
      <c r="T503"/>
    </row>
    <row r="504" spans="1:20" ht="17.25" customHeight="1">
      <c r="A504"/>
      <c r="B504"/>
      <c r="P504"/>
      <c r="R504"/>
      <c r="S504"/>
      <c r="T504"/>
    </row>
    <row r="505" spans="1:20" ht="17.25" customHeight="1">
      <c r="A505"/>
      <c r="B505"/>
      <c r="P505"/>
      <c r="R505"/>
      <c r="S505"/>
      <c r="T505"/>
    </row>
    <row r="506" spans="1:20" ht="17.25" customHeight="1">
      <c r="A506"/>
      <c r="B506"/>
      <c r="P506"/>
      <c r="R506"/>
      <c r="S506"/>
      <c r="T506"/>
    </row>
    <row r="507" spans="1:20" ht="17.25" customHeight="1">
      <c r="A507"/>
      <c r="B507"/>
      <c r="P507"/>
      <c r="R507"/>
      <c r="S507"/>
      <c r="T507"/>
    </row>
    <row r="508" spans="1:20" ht="17.25" customHeight="1">
      <c r="A508"/>
      <c r="B508"/>
      <c r="P508"/>
      <c r="R508"/>
      <c r="S508"/>
      <c r="T508"/>
    </row>
    <row r="509" spans="1:20" ht="17.25" customHeight="1">
      <c r="A509"/>
      <c r="B509"/>
      <c r="P509"/>
      <c r="R509"/>
      <c r="S509"/>
      <c r="T509"/>
    </row>
    <row r="510" spans="1:20" ht="17.25" customHeight="1">
      <c r="A510"/>
      <c r="B510"/>
      <c r="P510"/>
      <c r="R510"/>
      <c r="S510"/>
      <c r="T510"/>
    </row>
    <row r="511" spans="1:20" ht="17.25" customHeight="1">
      <c r="A511"/>
      <c r="B511"/>
      <c r="P511"/>
      <c r="R511"/>
      <c r="S511"/>
      <c r="T511"/>
    </row>
    <row r="512" spans="1:20" ht="17.25" customHeight="1">
      <c r="A512"/>
      <c r="B512"/>
      <c r="P512"/>
      <c r="R512"/>
      <c r="S512"/>
      <c r="T512"/>
    </row>
    <row r="513" spans="1:20" ht="17.25" customHeight="1">
      <c r="A513"/>
      <c r="B513"/>
      <c r="P513"/>
      <c r="R513"/>
      <c r="S513"/>
      <c r="T513"/>
    </row>
    <row r="514" spans="1:20" ht="17.25" customHeight="1">
      <c r="A514"/>
      <c r="B514"/>
      <c r="P514"/>
      <c r="R514"/>
      <c r="S514"/>
      <c r="T514"/>
    </row>
    <row r="515" spans="1:20" ht="17.25" customHeight="1">
      <c r="A515"/>
      <c r="B515"/>
      <c r="P515"/>
      <c r="R515"/>
      <c r="S515"/>
      <c r="T515"/>
    </row>
    <row r="516" spans="1:20" ht="17.25" customHeight="1">
      <c r="A516"/>
      <c r="B516"/>
      <c r="P516"/>
      <c r="R516"/>
      <c r="S516"/>
      <c r="T516"/>
    </row>
    <row r="517" spans="1:20" ht="17.25" customHeight="1">
      <c r="A517"/>
      <c r="B517"/>
      <c r="P517"/>
      <c r="R517"/>
      <c r="S517"/>
      <c r="T517"/>
    </row>
    <row r="518" spans="1:20" ht="17.25" customHeight="1">
      <c r="A518"/>
      <c r="B518"/>
      <c r="P518"/>
      <c r="R518"/>
      <c r="S518"/>
      <c r="T518"/>
    </row>
    <row r="519" spans="1:20" ht="17.25" customHeight="1">
      <c r="A519"/>
      <c r="B519"/>
      <c r="P519"/>
      <c r="R519"/>
      <c r="S519"/>
      <c r="T519"/>
    </row>
    <row r="520" spans="1:20" ht="17.25" customHeight="1">
      <c r="A520"/>
      <c r="B520"/>
      <c r="P520"/>
      <c r="R520"/>
      <c r="S520"/>
      <c r="T520"/>
    </row>
    <row r="521" spans="1:20" ht="17.25" customHeight="1">
      <c r="A521"/>
      <c r="B521"/>
      <c r="P521"/>
      <c r="R521"/>
      <c r="S521"/>
      <c r="T521"/>
    </row>
    <row r="522" spans="1:20" ht="17.25" customHeight="1">
      <c r="A522"/>
      <c r="B522"/>
      <c r="P522"/>
      <c r="R522"/>
      <c r="S522"/>
      <c r="T522"/>
    </row>
    <row r="523" spans="1:20" ht="17.25" customHeight="1">
      <c r="A523"/>
      <c r="B523"/>
      <c r="P523"/>
      <c r="R523"/>
      <c r="S523"/>
      <c r="T523"/>
    </row>
    <row r="524" spans="1:20" ht="17.25" customHeight="1">
      <c r="A524"/>
      <c r="B524"/>
      <c r="P524"/>
      <c r="R524"/>
      <c r="S524"/>
      <c r="T524"/>
    </row>
    <row r="525" spans="1:20" ht="17.25" customHeight="1">
      <c r="A525"/>
      <c r="B525"/>
      <c r="P525"/>
      <c r="R525"/>
      <c r="S525"/>
      <c r="T525"/>
    </row>
    <row r="526" spans="1:20" ht="17.25" customHeight="1">
      <c r="A526"/>
      <c r="B526"/>
      <c r="P526"/>
      <c r="R526"/>
      <c r="S526"/>
      <c r="T526"/>
    </row>
    <row r="527" spans="1:20" ht="17.25" customHeight="1">
      <c r="A527"/>
      <c r="B527"/>
      <c r="P527"/>
      <c r="R527"/>
      <c r="S527"/>
      <c r="T527"/>
    </row>
    <row r="528" spans="1:20" ht="17.25" customHeight="1">
      <c r="A528"/>
      <c r="B528"/>
      <c r="P528"/>
      <c r="R528"/>
      <c r="S528"/>
      <c r="T528"/>
    </row>
    <row r="529" spans="1:20" ht="17.25" customHeight="1">
      <c r="A529"/>
      <c r="B529"/>
      <c r="P529"/>
      <c r="R529"/>
      <c r="S529"/>
      <c r="T529"/>
    </row>
    <row r="530" spans="1:20" ht="17.25" customHeight="1">
      <c r="A530"/>
      <c r="B530"/>
      <c r="P530"/>
      <c r="R530"/>
      <c r="S530"/>
      <c r="T530"/>
    </row>
    <row r="531" spans="1:20" ht="17.25" customHeight="1">
      <c r="A531"/>
      <c r="B531"/>
      <c r="P531"/>
      <c r="R531"/>
      <c r="S531"/>
      <c r="T531"/>
    </row>
    <row r="532" spans="1:20" ht="17.25" customHeight="1">
      <c r="A532"/>
      <c r="B532"/>
      <c r="P532"/>
      <c r="R532"/>
      <c r="S532"/>
      <c r="T532"/>
    </row>
    <row r="533" spans="1:20" ht="17.25" customHeight="1">
      <c r="A533"/>
      <c r="B533"/>
      <c r="P533"/>
      <c r="R533"/>
      <c r="S533"/>
      <c r="T533"/>
    </row>
    <row r="534" spans="1:20" ht="17.25" customHeight="1">
      <c r="A534"/>
      <c r="B534"/>
      <c r="P534"/>
      <c r="R534"/>
      <c r="S534"/>
      <c r="T534"/>
    </row>
    <row r="535" spans="1:20" ht="17.25" customHeight="1">
      <c r="A535"/>
      <c r="B535"/>
      <c r="P535"/>
      <c r="R535"/>
      <c r="S535"/>
      <c r="T535"/>
    </row>
    <row r="536" spans="1:20" ht="17.25" customHeight="1">
      <c r="A536"/>
      <c r="B536"/>
      <c r="P536"/>
      <c r="R536"/>
      <c r="S536"/>
      <c r="T536"/>
    </row>
    <row r="537" spans="1:20" ht="17.25" customHeight="1">
      <c r="A537"/>
      <c r="B537"/>
      <c r="P537"/>
      <c r="R537"/>
      <c r="S537"/>
      <c r="T537"/>
    </row>
    <row r="538" spans="1:20" ht="17.25" customHeight="1">
      <c r="A538"/>
      <c r="B538"/>
      <c r="P538"/>
      <c r="R538"/>
      <c r="S538"/>
      <c r="T538"/>
    </row>
    <row r="539" spans="1:20" ht="17.25" customHeight="1">
      <c r="A539"/>
      <c r="B539"/>
      <c r="P539"/>
      <c r="R539"/>
      <c r="S539"/>
      <c r="T539"/>
    </row>
    <row r="540" spans="1:20" ht="17.25" customHeight="1">
      <c r="A540"/>
      <c r="B540"/>
      <c r="P540"/>
      <c r="R540"/>
      <c r="S540"/>
      <c r="T540"/>
    </row>
    <row r="541" spans="1:20" ht="17.25" customHeight="1">
      <c r="A541"/>
      <c r="B541"/>
      <c r="P541"/>
      <c r="R541"/>
      <c r="S541"/>
      <c r="T541"/>
    </row>
    <row r="542" spans="1:20" ht="17.25" customHeight="1">
      <c r="A542"/>
      <c r="B542"/>
      <c r="P542"/>
      <c r="R542"/>
      <c r="S542"/>
      <c r="T542"/>
    </row>
    <row r="543" spans="1:20" ht="17.25" customHeight="1">
      <c r="A543"/>
      <c r="B543"/>
      <c r="P543"/>
      <c r="R543"/>
      <c r="S543"/>
      <c r="T543"/>
    </row>
    <row r="544" spans="1:20" ht="17.25" customHeight="1">
      <c r="A544"/>
      <c r="B544"/>
      <c r="P544"/>
      <c r="R544"/>
      <c r="S544"/>
      <c r="T544"/>
    </row>
    <row r="545" spans="1:20" ht="17.25" customHeight="1">
      <c r="A545"/>
      <c r="B545"/>
      <c r="P545"/>
      <c r="R545"/>
      <c r="S545"/>
      <c r="T545"/>
    </row>
    <row r="546" spans="1:20" ht="17.25" customHeight="1">
      <c r="A546"/>
      <c r="B546"/>
      <c r="P546"/>
      <c r="R546"/>
      <c r="S546"/>
      <c r="T546"/>
    </row>
    <row r="547" spans="1:20" ht="17.25" customHeight="1">
      <c r="A547"/>
      <c r="B547"/>
      <c r="P547"/>
      <c r="R547"/>
      <c r="S547"/>
      <c r="T547"/>
    </row>
    <row r="548" spans="1:20" ht="17.25" customHeight="1">
      <c r="A548"/>
      <c r="B548"/>
      <c r="P548"/>
      <c r="R548"/>
      <c r="S548"/>
      <c r="T548"/>
    </row>
    <row r="549" spans="1:20" ht="17.25" customHeight="1">
      <c r="A549"/>
      <c r="B549"/>
      <c r="P549"/>
      <c r="R549"/>
      <c r="S549"/>
      <c r="T549"/>
    </row>
    <row r="550" spans="1:20" ht="17.25" customHeight="1">
      <c r="A550"/>
      <c r="B550"/>
      <c r="P550"/>
      <c r="R550"/>
      <c r="S550"/>
      <c r="T550"/>
    </row>
    <row r="551" spans="1:20" ht="17.25" customHeight="1">
      <c r="A551"/>
      <c r="B551"/>
      <c r="P551"/>
      <c r="R551"/>
      <c r="S551"/>
      <c r="T551"/>
    </row>
    <row r="552" spans="1:20" ht="17.25" customHeight="1">
      <c r="A552"/>
      <c r="B552"/>
      <c r="P552"/>
      <c r="R552"/>
      <c r="S552"/>
      <c r="T552"/>
    </row>
    <row r="553" spans="1:20" ht="17.25" customHeight="1">
      <c r="A553"/>
      <c r="B553"/>
      <c r="P553"/>
      <c r="R553"/>
      <c r="S553"/>
      <c r="T553"/>
    </row>
    <row r="554" spans="1:20" ht="17.25" customHeight="1">
      <c r="A554"/>
      <c r="B554"/>
      <c r="P554"/>
      <c r="R554"/>
      <c r="S554"/>
      <c r="T554"/>
    </row>
    <row r="555" spans="1:20" ht="17.25" customHeight="1">
      <c r="A555"/>
      <c r="B555"/>
      <c r="P555"/>
      <c r="R555"/>
      <c r="S555"/>
      <c r="T555"/>
    </row>
    <row r="556" spans="1:20" ht="17.25" customHeight="1">
      <c r="A556"/>
      <c r="B556"/>
      <c r="P556"/>
      <c r="R556"/>
      <c r="S556"/>
      <c r="T556"/>
    </row>
    <row r="557" spans="1:20" ht="17.25" customHeight="1">
      <c r="A557"/>
      <c r="B557"/>
      <c r="P557"/>
      <c r="R557"/>
      <c r="S557"/>
      <c r="T557"/>
    </row>
    <row r="558" spans="1:20" ht="17.25" customHeight="1">
      <c r="A558"/>
      <c r="B558"/>
      <c r="P558"/>
      <c r="R558"/>
      <c r="S558"/>
      <c r="T558"/>
    </row>
    <row r="559" spans="1:20" ht="17.25" customHeight="1">
      <c r="A559"/>
      <c r="B559"/>
      <c r="P559"/>
      <c r="R559"/>
      <c r="S559"/>
      <c r="T559"/>
    </row>
    <row r="560" spans="1:20" ht="17.25" customHeight="1">
      <c r="A560"/>
      <c r="B560"/>
      <c r="P560"/>
      <c r="R560"/>
      <c r="S560"/>
      <c r="T560"/>
    </row>
    <row r="561" spans="1:20" ht="17.25" customHeight="1">
      <c r="A561"/>
      <c r="B561"/>
      <c r="P561"/>
      <c r="R561"/>
      <c r="S561"/>
      <c r="T561"/>
    </row>
    <row r="562" spans="1:20" ht="17.25" customHeight="1">
      <c r="A562"/>
      <c r="B562"/>
      <c r="P562"/>
      <c r="R562"/>
      <c r="S562"/>
      <c r="T562"/>
    </row>
    <row r="563" spans="1:20" ht="17.25" customHeight="1">
      <c r="A563"/>
      <c r="B563"/>
      <c r="P563"/>
      <c r="R563"/>
      <c r="S563"/>
      <c r="T563"/>
    </row>
    <row r="564" spans="1:20" ht="17.25" customHeight="1">
      <c r="A564"/>
      <c r="B564"/>
      <c r="P564"/>
      <c r="R564"/>
      <c r="S564"/>
      <c r="T564"/>
    </row>
    <row r="565" spans="1:20" ht="17.25" customHeight="1">
      <c r="A565"/>
      <c r="B565"/>
      <c r="P565"/>
      <c r="R565"/>
      <c r="S565"/>
      <c r="T565"/>
    </row>
    <row r="566" spans="1:20" ht="17.25" customHeight="1">
      <c r="A566"/>
      <c r="B566"/>
      <c r="P566"/>
      <c r="R566"/>
      <c r="S566"/>
      <c r="T566"/>
    </row>
    <row r="567" spans="1:20" ht="17.25" customHeight="1">
      <c r="A567"/>
      <c r="B567"/>
      <c r="P567"/>
      <c r="R567"/>
      <c r="S567"/>
      <c r="T567"/>
    </row>
    <row r="568" spans="1:20" ht="17.25" customHeight="1">
      <c r="A568"/>
      <c r="B568"/>
      <c r="P568"/>
      <c r="R568"/>
      <c r="S568"/>
      <c r="T568"/>
    </row>
    <row r="569" spans="1:20" ht="17.25" customHeight="1">
      <c r="A569"/>
      <c r="B569"/>
      <c r="P569"/>
      <c r="R569"/>
      <c r="S569"/>
      <c r="T569"/>
    </row>
    <row r="570" spans="1:20" ht="17.25" customHeight="1">
      <c r="A570"/>
      <c r="B570"/>
      <c r="P570"/>
      <c r="R570"/>
      <c r="S570"/>
      <c r="T570"/>
    </row>
    <row r="571" spans="1:20" ht="17.25" customHeight="1">
      <c r="A571"/>
      <c r="B571"/>
      <c r="P571"/>
      <c r="R571"/>
      <c r="S571"/>
      <c r="T571"/>
    </row>
    <row r="572" spans="1:20" ht="17.25" customHeight="1">
      <c r="A572"/>
      <c r="B572"/>
      <c r="P572"/>
      <c r="R572"/>
      <c r="S572"/>
      <c r="T572"/>
    </row>
    <row r="573" spans="1:20" ht="17.25" customHeight="1">
      <c r="A573"/>
      <c r="B573"/>
      <c r="P573"/>
      <c r="R573"/>
      <c r="S573"/>
      <c r="T573"/>
    </row>
    <row r="574" spans="1:20" ht="17.25" customHeight="1">
      <c r="A574"/>
      <c r="B574"/>
      <c r="P574"/>
      <c r="R574"/>
      <c r="S574"/>
      <c r="T574"/>
    </row>
    <row r="575" spans="1:20" ht="17.25" customHeight="1">
      <c r="A575"/>
      <c r="B575"/>
      <c r="P575"/>
      <c r="R575"/>
      <c r="S575"/>
      <c r="T575"/>
    </row>
    <row r="576" spans="1:20" ht="17.25" customHeight="1">
      <c r="A576"/>
      <c r="B576"/>
      <c r="P576"/>
      <c r="R576"/>
      <c r="S576"/>
      <c r="T576"/>
    </row>
    <row r="577" spans="1:20" ht="17.25" customHeight="1">
      <c r="A577"/>
      <c r="B577"/>
      <c r="P577"/>
      <c r="R577"/>
      <c r="S577"/>
      <c r="T577"/>
    </row>
    <row r="578" spans="1:20" ht="17.25" customHeight="1">
      <c r="A578"/>
      <c r="B578"/>
      <c r="P578"/>
      <c r="R578"/>
      <c r="S578"/>
      <c r="T578"/>
    </row>
    <row r="579" spans="1:20" ht="17.25" customHeight="1">
      <c r="A579"/>
      <c r="B579"/>
      <c r="P579"/>
      <c r="R579"/>
      <c r="S579"/>
      <c r="T579"/>
    </row>
    <row r="580" spans="1:20" ht="17.25" customHeight="1">
      <c r="A580"/>
      <c r="B580"/>
      <c r="P580"/>
      <c r="R580"/>
      <c r="S580"/>
      <c r="T580"/>
    </row>
    <row r="581" spans="1:20" ht="17.25" customHeight="1">
      <c r="A581"/>
      <c r="B581"/>
      <c r="P581"/>
      <c r="R581"/>
      <c r="S581"/>
      <c r="T581"/>
    </row>
    <row r="582" spans="1:20" ht="17.25" customHeight="1">
      <c r="A582"/>
      <c r="B582"/>
      <c r="P582"/>
      <c r="R582"/>
      <c r="S582"/>
      <c r="T582"/>
    </row>
    <row r="583" spans="1:20" ht="17.25" customHeight="1">
      <c r="A583"/>
      <c r="B583"/>
      <c r="P583"/>
      <c r="R583"/>
      <c r="S583"/>
      <c r="T583"/>
    </row>
    <row r="584" spans="1:20" ht="17.25" customHeight="1">
      <c r="A584"/>
      <c r="B584"/>
      <c r="P584"/>
      <c r="R584"/>
      <c r="S584"/>
      <c r="T584"/>
    </row>
    <row r="585" spans="1:20" ht="17.25" customHeight="1">
      <c r="A585"/>
      <c r="B585"/>
      <c r="P585"/>
      <c r="R585"/>
      <c r="S585"/>
      <c r="T585"/>
    </row>
    <row r="586" spans="1:20" ht="17.25" customHeight="1">
      <c r="A586"/>
      <c r="B586"/>
      <c r="P586"/>
      <c r="R586"/>
      <c r="S586"/>
      <c r="T586"/>
    </row>
    <row r="587" spans="1:20" ht="17.25" customHeight="1">
      <c r="A587"/>
      <c r="B587"/>
      <c r="P587"/>
      <c r="R587"/>
      <c r="S587"/>
      <c r="T587"/>
    </row>
    <row r="588" spans="1:20" ht="17.25" customHeight="1">
      <c r="A588"/>
      <c r="B588"/>
      <c r="P588"/>
      <c r="R588"/>
      <c r="S588"/>
      <c r="T588"/>
    </row>
    <row r="589" spans="1:20" ht="17.25" customHeight="1">
      <c r="A589"/>
      <c r="B589"/>
      <c r="P589"/>
      <c r="R589"/>
      <c r="S589"/>
      <c r="T589"/>
    </row>
    <row r="590" spans="1:20" ht="17.25" customHeight="1">
      <c r="A590"/>
      <c r="B590"/>
      <c r="P590"/>
      <c r="R590"/>
      <c r="S590"/>
      <c r="T590"/>
    </row>
    <row r="591" spans="1:20" ht="17.25" customHeight="1">
      <c r="A591"/>
      <c r="B591"/>
      <c r="P591"/>
      <c r="R591"/>
      <c r="S591"/>
      <c r="T591"/>
    </row>
    <row r="592" spans="1:20" ht="17.25" customHeight="1">
      <c r="A592"/>
      <c r="B592"/>
      <c r="P592"/>
      <c r="R592"/>
      <c r="S592"/>
      <c r="T592"/>
    </row>
    <row r="593" spans="1:20" ht="17.25" customHeight="1">
      <c r="A593"/>
      <c r="B593"/>
      <c r="P593"/>
      <c r="R593"/>
      <c r="S593"/>
      <c r="T593"/>
    </row>
    <row r="594" spans="1:20" ht="17.25" customHeight="1">
      <c r="A594"/>
      <c r="B594"/>
      <c r="P594"/>
      <c r="R594"/>
      <c r="S594"/>
      <c r="T594"/>
    </row>
    <row r="595" spans="1:20" ht="17.25" customHeight="1">
      <c r="A595"/>
      <c r="B595"/>
      <c r="P595"/>
      <c r="R595"/>
      <c r="S595"/>
      <c r="T595"/>
    </row>
    <row r="596" spans="1:20" ht="17.25" customHeight="1">
      <c r="A596"/>
      <c r="B596"/>
      <c r="P596"/>
      <c r="R596"/>
      <c r="S596"/>
      <c r="T596"/>
    </row>
    <row r="597" spans="1:20" ht="17.25" customHeight="1">
      <c r="A597"/>
      <c r="B597"/>
      <c r="P597"/>
      <c r="R597"/>
      <c r="S597"/>
      <c r="T597"/>
    </row>
    <row r="598" spans="1:20" ht="17.25" customHeight="1">
      <c r="A598"/>
      <c r="B598"/>
      <c r="P598"/>
      <c r="R598"/>
      <c r="S598"/>
      <c r="T598"/>
    </row>
    <row r="599" spans="1:20" ht="17.25" customHeight="1">
      <c r="A599"/>
      <c r="B599"/>
      <c r="P599"/>
      <c r="R599"/>
      <c r="S599"/>
      <c r="T599"/>
    </row>
    <row r="600" spans="1:20" ht="17.25" customHeight="1">
      <c r="A600"/>
      <c r="B600"/>
      <c r="P600"/>
      <c r="R600"/>
      <c r="S600"/>
      <c r="T600"/>
    </row>
    <row r="601" spans="1:20" ht="17.25" customHeight="1">
      <c r="A601"/>
      <c r="B601"/>
      <c r="P601"/>
      <c r="R601"/>
      <c r="S601"/>
      <c r="T601"/>
    </row>
    <row r="602" spans="1:20" ht="17.25" customHeight="1">
      <c r="A602"/>
      <c r="B602"/>
      <c r="P602"/>
      <c r="R602"/>
      <c r="S602"/>
      <c r="T602"/>
    </row>
    <row r="603" spans="1:20" ht="17.25" customHeight="1">
      <c r="A603"/>
      <c r="B603"/>
      <c r="P603"/>
      <c r="R603"/>
      <c r="S603"/>
      <c r="T603"/>
    </row>
    <row r="604" spans="1:20" ht="17.25" customHeight="1">
      <c r="A604"/>
      <c r="B604"/>
      <c r="P604"/>
      <c r="R604"/>
      <c r="S604"/>
      <c r="T604"/>
    </row>
    <row r="605" spans="1:20" ht="17.25" customHeight="1">
      <c r="A605"/>
      <c r="B605"/>
      <c r="P605"/>
      <c r="R605"/>
      <c r="S605"/>
      <c r="T605"/>
    </row>
    <row r="606" spans="1:20" ht="17.25" customHeight="1">
      <c r="A606"/>
      <c r="B606"/>
      <c r="P606"/>
      <c r="R606"/>
      <c r="S606"/>
      <c r="T606"/>
    </row>
    <row r="607" spans="1:20" ht="17.25" customHeight="1">
      <c r="A607"/>
      <c r="B607"/>
      <c r="P607"/>
      <c r="R607"/>
      <c r="S607"/>
      <c r="T607"/>
    </row>
    <row r="608" spans="1:20" ht="17.25" customHeight="1">
      <c r="A608"/>
      <c r="B608"/>
      <c r="P608"/>
      <c r="R608"/>
      <c r="S608"/>
      <c r="T608"/>
    </row>
    <row r="609" spans="1:20" ht="17.25" customHeight="1">
      <c r="A609"/>
      <c r="B609"/>
      <c r="P609"/>
      <c r="R609"/>
      <c r="S609"/>
      <c r="T609"/>
    </row>
    <row r="610" spans="1:20" ht="17.25" customHeight="1">
      <c r="A610"/>
      <c r="B610"/>
      <c r="P610"/>
      <c r="R610"/>
      <c r="S610"/>
      <c r="T610"/>
    </row>
    <row r="611" spans="1:20" ht="17.25" customHeight="1">
      <c r="A611"/>
      <c r="B611"/>
      <c r="P611"/>
      <c r="R611"/>
      <c r="S611"/>
      <c r="T611"/>
    </row>
    <row r="612" spans="1:20" ht="17.25" customHeight="1">
      <c r="A612"/>
      <c r="B612"/>
      <c r="P612"/>
      <c r="R612"/>
      <c r="S612"/>
      <c r="T612"/>
    </row>
    <row r="613" spans="1:20" ht="17.25" customHeight="1">
      <c r="A613"/>
      <c r="B613"/>
      <c r="P613"/>
      <c r="R613"/>
      <c r="S613"/>
      <c r="T613"/>
    </row>
    <row r="614" spans="1:20" ht="17.25" customHeight="1">
      <c r="A614"/>
      <c r="B614"/>
      <c r="P614"/>
      <c r="R614"/>
      <c r="S614"/>
      <c r="T614"/>
    </row>
    <row r="615" spans="1:20" ht="17.25" customHeight="1">
      <c r="A615"/>
      <c r="B615"/>
      <c r="P615"/>
      <c r="R615"/>
      <c r="S615"/>
      <c r="T615"/>
    </row>
    <row r="616" spans="1:20" ht="17.25" customHeight="1">
      <c r="A616"/>
      <c r="B616"/>
      <c r="P616"/>
      <c r="R616"/>
      <c r="S616"/>
      <c r="T616"/>
    </row>
    <row r="617" spans="1:20" ht="17.25" customHeight="1">
      <c r="A617"/>
      <c r="B617"/>
      <c r="P617"/>
      <c r="R617"/>
      <c r="S617"/>
      <c r="T617"/>
    </row>
    <row r="618" spans="1:20" ht="17.25" customHeight="1">
      <c r="A618"/>
      <c r="B618"/>
      <c r="P618"/>
      <c r="R618"/>
      <c r="S618"/>
      <c r="T618"/>
    </row>
    <row r="619" spans="1:20" ht="17.25" customHeight="1">
      <c r="A619"/>
      <c r="B619"/>
      <c r="P619"/>
      <c r="R619"/>
      <c r="S619"/>
      <c r="T619"/>
    </row>
    <row r="620" spans="1:20" ht="17.25" customHeight="1">
      <c r="A620"/>
      <c r="B620"/>
      <c r="P620"/>
      <c r="R620"/>
      <c r="S620"/>
      <c r="T620"/>
    </row>
    <row r="621" spans="1:20" ht="17.25" customHeight="1">
      <c r="A621"/>
      <c r="B621"/>
      <c r="P621"/>
      <c r="R621"/>
      <c r="S621"/>
      <c r="T621"/>
    </row>
    <row r="622" spans="1:20" ht="17.25" customHeight="1">
      <c r="A622"/>
      <c r="B622"/>
      <c r="P622"/>
      <c r="R622"/>
      <c r="S622"/>
      <c r="T622"/>
    </row>
    <row r="623" spans="1:20" ht="17.25" customHeight="1">
      <c r="A623"/>
      <c r="B623"/>
      <c r="P623"/>
      <c r="R623"/>
      <c r="S623"/>
      <c r="T623"/>
    </row>
    <row r="624" spans="1:20" ht="17.25" customHeight="1">
      <c r="A624"/>
      <c r="B624"/>
      <c r="P624"/>
      <c r="R624"/>
      <c r="S624"/>
      <c r="T624"/>
    </row>
    <row r="625" spans="1:20" ht="17.25" customHeight="1">
      <c r="A625"/>
      <c r="B625"/>
      <c r="P625"/>
      <c r="R625"/>
      <c r="S625"/>
      <c r="T625"/>
    </row>
    <row r="626" spans="1:20" ht="17.25" customHeight="1">
      <c r="A626"/>
      <c r="B626"/>
      <c r="P626"/>
      <c r="R626"/>
      <c r="S626"/>
      <c r="T626"/>
    </row>
    <row r="627" spans="1:20" ht="17.25" customHeight="1">
      <c r="A627"/>
      <c r="B627"/>
      <c r="P627"/>
      <c r="R627"/>
      <c r="S627"/>
      <c r="T627"/>
    </row>
    <row r="628" spans="1:20" ht="17.25" customHeight="1">
      <c r="A628"/>
      <c r="B628"/>
      <c r="P628"/>
      <c r="R628"/>
      <c r="S628"/>
      <c r="T628"/>
    </row>
    <row r="629" spans="1:20" ht="17.25" customHeight="1">
      <c r="A629"/>
      <c r="B629"/>
      <c r="P629"/>
      <c r="R629"/>
      <c r="S629"/>
      <c r="T629"/>
    </row>
    <row r="630" spans="1:20" ht="17.25" customHeight="1">
      <c r="A630"/>
      <c r="B630"/>
      <c r="P630"/>
      <c r="R630"/>
      <c r="S630"/>
      <c r="T630"/>
    </row>
    <row r="631" spans="1:20" ht="17.25" customHeight="1">
      <c r="A631"/>
      <c r="B631"/>
      <c r="P631"/>
      <c r="R631"/>
      <c r="S631"/>
      <c r="T631"/>
    </row>
    <row r="632" spans="1:20" ht="17.25" customHeight="1">
      <c r="A632"/>
      <c r="B632"/>
      <c r="P632"/>
      <c r="R632"/>
      <c r="S632"/>
      <c r="T632"/>
    </row>
    <row r="633" spans="1:20" ht="17.25" customHeight="1">
      <c r="A633"/>
      <c r="B633"/>
      <c r="P633"/>
      <c r="R633"/>
      <c r="S633"/>
      <c r="T633"/>
    </row>
    <row r="634" spans="1:20" ht="17.25" customHeight="1">
      <c r="A634"/>
      <c r="B634"/>
      <c r="P634"/>
      <c r="R634"/>
      <c r="S634"/>
      <c r="T634"/>
    </row>
    <row r="635" spans="1:20" ht="17.25" customHeight="1">
      <c r="A635"/>
      <c r="B635"/>
      <c r="P635"/>
      <c r="R635"/>
      <c r="S635"/>
      <c r="T635"/>
    </row>
    <row r="636" spans="1:20" ht="17.25" customHeight="1">
      <c r="A636"/>
      <c r="B636"/>
      <c r="P636"/>
      <c r="R636"/>
      <c r="S636"/>
      <c r="T636"/>
    </row>
    <row r="637" spans="1:20" ht="17.25" customHeight="1">
      <c r="A637"/>
      <c r="B637"/>
      <c r="P637"/>
      <c r="R637"/>
      <c r="S637"/>
      <c r="T637"/>
    </row>
    <row r="638" spans="1:20" ht="17.25" customHeight="1">
      <c r="A638"/>
      <c r="B638"/>
      <c r="P638"/>
      <c r="R638"/>
      <c r="S638"/>
      <c r="T638"/>
    </row>
    <row r="639" spans="1:20" ht="17.25" customHeight="1">
      <c r="A639"/>
      <c r="B639"/>
      <c r="P639"/>
      <c r="R639"/>
      <c r="S639"/>
      <c r="T639"/>
    </row>
    <row r="640" spans="1:20" ht="17.25" customHeight="1">
      <c r="A640"/>
      <c r="B640"/>
      <c r="P640"/>
      <c r="R640"/>
      <c r="S640"/>
      <c r="T640"/>
    </row>
    <row r="641" spans="1:20" ht="17.25" customHeight="1">
      <c r="A641"/>
      <c r="B641"/>
      <c r="P641"/>
      <c r="R641"/>
      <c r="S641"/>
      <c r="T641"/>
    </row>
    <row r="642" spans="1:20" ht="17.25" customHeight="1">
      <c r="A642"/>
      <c r="B642"/>
      <c r="P642"/>
      <c r="R642"/>
      <c r="S642"/>
      <c r="T642"/>
    </row>
    <row r="643" spans="1:20" ht="17.25" customHeight="1">
      <c r="A643"/>
      <c r="B643"/>
      <c r="P643"/>
      <c r="R643"/>
      <c r="S643"/>
      <c r="T643"/>
    </row>
    <row r="644" spans="1:20" ht="17.25" customHeight="1">
      <c r="A644"/>
      <c r="B644"/>
      <c r="P644"/>
      <c r="R644"/>
      <c r="S644"/>
      <c r="T644"/>
    </row>
    <row r="645" spans="1:20" ht="17.25" customHeight="1">
      <c r="A645"/>
      <c r="B645"/>
      <c r="P645"/>
      <c r="R645"/>
      <c r="S645"/>
      <c r="T645"/>
    </row>
    <row r="646" spans="1:20" ht="17.25" customHeight="1">
      <c r="A646"/>
      <c r="B646"/>
      <c r="P646"/>
      <c r="R646"/>
      <c r="S646"/>
      <c r="T646"/>
    </row>
    <row r="647" spans="1:20" ht="17.25" customHeight="1">
      <c r="A647"/>
      <c r="B647"/>
      <c r="P647"/>
      <c r="R647"/>
      <c r="S647"/>
      <c r="T647"/>
    </row>
    <row r="648" spans="1:20" ht="17.25" customHeight="1">
      <c r="A648"/>
      <c r="B648"/>
      <c r="P648"/>
      <c r="R648"/>
      <c r="S648"/>
      <c r="T648"/>
    </row>
    <row r="649" spans="1:20" ht="17.25" customHeight="1">
      <c r="A649"/>
      <c r="B649"/>
      <c r="P649"/>
      <c r="R649"/>
      <c r="S649"/>
      <c r="T649"/>
    </row>
    <row r="650" spans="1:20" ht="17.25" customHeight="1">
      <c r="A650"/>
      <c r="B650"/>
      <c r="P650"/>
      <c r="R650"/>
      <c r="S650"/>
      <c r="T650"/>
    </row>
    <row r="651" spans="1:20" ht="17.25" customHeight="1">
      <c r="A651"/>
      <c r="B651"/>
      <c r="P651"/>
      <c r="R651"/>
      <c r="S651"/>
      <c r="T651"/>
    </row>
    <row r="652" spans="1:20" ht="17.25" customHeight="1">
      <c r="A652"/>
      <c r="B652"/>
      <c r="P652"/>
      <c r="R652"/>
      <c r="S652"/>
      <c r="T652"/>
    </row>
    <row r="653" spans="1:20" ht="17.25" customHeight="1">
      <c r="A653"/>
      <c r="B653"/>
      <c r="P653"/>
      <c r="R653"/>
      <c r="S653"/>
      <c r="T653"/>
    </row>
    <row r="654" spans="1:20" ht="17.25" customHeight="1">
      <c r="A654"/>
      <c r="B654"/>
      <c r="P654"/>
      <c r="R654"/>
      <c r="S654"/>
      <c r="T654"/>
    </row>
    <row r="655" spans="1:20" ht="17.25" customHeight="1">
      <c r="A655"/>
      <c r="B655"/>
      <c r="P655"/>
      <c r="R655"/>
      <c r="S655"/>
      <c r="T655"/>
    </row>
    <row r="656" spans="1:20" ht="17.25" customHeight="1">
      <c r="A656"/>
      <c r="B656"/>
      <c r="P656"/>
      <c r="R656"/>
      <c r="S656"/>
      <c r="T656"/>
    </row>
    <row r="657" spans="1:20" ht="17.25" customHeight="1">
      <c r="A657"/>
      <c r="B657"/>
      <c r="P657"/>
      <c r="R657"/>
      <c r="S657"/>
      <c r="T657"/>
    </row>
    <row r="658" spans="1:20" ht="17.25" customHeight="1">
      <c r="A658"/>
      <c r="B658"/>
      <c r="P658"/>
      <c r="R658"/>
      <c r="S658"/>
      <c r="T658"/>
    </row>
    <row r="659" spans="1:20" ht="17.25" customHeight="1">
      <c r="A659"/>
      <c r="B659"/>
      <c r="P659"/>
      <c r="R659"/>
      <c r="S659"/>
      <c r="T659"/>
    </row>
    <row r="660" spans="1:20" ht="17.25" customHeight="1">
      <c r="A660"/>
      <c r="B660"/>
      <c r="P660"/>
      <c r="R660"/>
      <c r="S660"/>
      <c r="T660"/>
    </row>
    <row r="661" spans="1:20" ht="17.25" customHeight="1">
      <c r="A661"/>
      <c r="B661"/>
      <c r="P661"/>
      <c r="R661"/>
      <c r="S661"/>
      <c r="T661"/>
    </row>
    <row r="662" spans="1:20" ht="17.25" customHeight="1">
      <c r="A662"/>
      <c r="B662"/>
      <c r="P662"/>
      <c r="R662"/>
      <c r="S662"/>
      <c r="T662"/>
    </row>
    <row r="663" spans="1:20" ht="17.25" customHeight="1">
      <c r="A663"/>
      <c r="B663"/>
      <c r="P663"/>
      <c r="R663"/>
      <c r="S663"/>
      <c r="T663"/>
    </row>
    <row r="664" spans="1:20" ht="17.25" customHeight="1">
      <c r="A664"/>
      <c r="B664"/>
      <c r="P664"/>
      <c r="R664"/>
      <c r="S664"/>
      <c r="T664"/>
    </row>
    <row r="665" spans="1:20" ht="17.25" customHeight="1">
      <c r="A665"/>
      <c r="B665"/>
      <c r="P665"/>
      <c r="R665"/>
      <c r="S665"/>
      <c r="T665"/>
    </row>
    <row r="666" spans="1:20" ht="17.25" customHeight="1">
      <c r="A666"/>
      <c r="B666"/>
      <c r="P666"/>
      <c r="R666"/>
      <c r="S666"/>
      <c r="T666"/>
    </row>
    <row r="667" spans="1:20" ht="17.25" customHeight="1">
      <c r="A667"/>
      <c r="B667"/>
      <c r="P667"/>
      <c r="R667"/>
      <c r="S667"/>
      <c r="T667"/>
    </row>
    <row r="668" spans="1:20" ht="17.25" customHeight="1">
      <c r="A668"/>
      <c r="B668"/>
      <c r="P668"/>
      <c r="R668"/>
      <c r="S668"/>
      <c r="T668"/>
    </row>
    <row r="669" spans="1:20" ht="17.25" customHeight="1">
      <c r="A669"/>
      <c r="B669"/>
      <c r="P669"/>
      <c r="R669"/>
      <c r="S669"/>
      <c r="T669"/>
    </row>
    <row r="670" spans="1:20" ht="17.25" customHeight="1">
      <c r="A670"/>
      <c r="B670"/>
      <c r="P670"/>
      <c r="R670"/>
      <c r="S670"/>
      <c r="T670"/>
    </row>
    <row r="671" spans="1:20" ht="17.25" customHeight="1">
      <c r="A671"/>
      <c r="B671"/>
      <c r="P671"/>
      <c r="R671"/>
      <c r="S671"/>
      <c r="T671"/>
    </row>
    <row r="672" spans="1:20" ht="17.25" customHeight="1">
      <c r="A672"/>
      <c r="B672"/>
      <c r="P672"/>
      <c r="R672"/>
      <c r="S672"/>
      <c r="T672"/>
    </row>
    <row r="673" spans="1:20" ht="17.25" customHeight="1">
      <c r="A673"/>
      <c r="B673"/>
      <c r="P673"/>
      <c r="R673"/>
      <c r="S673"/>
      <c r="T673"/>
    </row>
    <row r="674" spans="1:20" ht="17.25" customHeight="1">
      <c r="A674"/>
      <c r="B674"/>
      <c r="P674"/>
      <c r="R674"/>
      <c r="S674"/>
      <c r="T674"/>
    </row>
    <row r="675" spans="1:20" ht="17.25" customHeight="1">
      <c r="A675"/>
      <c r="B675"/>
      <c r="P675"/>
      <c r="R675"/>
      <c r="S675"/>
      <c r="T675"/>
    </row>
    <row r="676" spans="1:20" ht="17.25" customHeight="1">
      <c r="A676"/>
      <c r="B676"/>
      <c r="P676"/>
      <c r="R676"/>
      <c r="S676"/>
      <c r="T676"/>
    </row>
    <row r="677" spans="1:20" ht="17.25" customHeight="1">
      <c r="A677"/>
      <c r="B677"/>
      <c r="P677"/>
      <c r="R677"/>
      <c r="S677"/>
      <c r="T677"/>
    </row>
    <row r="678" spans="1:20" ht="17.25" customHeight="1">
      <c r="A678"/>
      <c r="B678"/>
      <c r="P678"/>
      <c r="R678"/>
      <c r="S678"/>
      <c r="T678"/>
    </row>
    <row r="679" spans="1:20" ht="17.25" customHeight="1">
      <c r="A679"/>
      <c r="B679"/>
      <c r="P679"/>
      <c r="R679"/>
      <c r="S679"/>
      <c r="T679"/>
    </row>
    <row r="680" spans="1:20" ht="17.25" customHeight="1">
      <c r="A680"/>
      <c r="B680"/>
      <c r="P680"/>
      <c r="R680"/>
      <c r="S680"/>
      <c r="T680"/>
    </row>
    <row r="681" spans="1:20" ht="17.25" customHeight="1">
      <c r="A681"/>
      <c r="B681"/>
      <c r="P681"/>
      <c r="R681"/>
      <c r="S681"/>
      <c r="T681"/>
    </row>
    <row r="682" spans="1:20" ht="17.25" customHeight="1">
      <c r="A682"/>
      <c r="B682"/>
      <c r="P682"/>
      <c r="R682"/>
      <c r="S682"/>
      <c r="T682"/>
    </row>
    <row r="683" spans="1:20" ht="17.25" customHeight="1">
      <c r="A683"/>
      <c r="B683"/>
      <c r="P683"/>
      <c r="R683"/>
      <c r="S683"/>
      <c r="T683"/>
    </row>
    <row r="684" spans="1:20" ht="17.25" customHeight="1">
      <c r="A684"/>
      <c r="B684"/>
      <c r="P684"/>
      <c r="R684"/>
      <c r="S684"/>
      <c r="T684"/>
    </row>
    <row r="685" spans="1:20" ht="17.25" customHeight="1">
      <c r="A685"/>
      <c r="B685"/>
      <c r="P685"/>
      <c r="R685"/>
      <c r="S685"/>
      <c r="T685"/>
    </row>
    <row r="686" spans="1:20" ht="17.25" customHeight="1">
      <c r="A686"/>
      <c r="B686"/>
      <c r="P686"/>
      <c r="R686"/>
      <c r="S686"/>
      <c r="T686"/>
    </row>
    <row r="687" spans="1:20" ht="17.25" customHeight="1">
      <c r="A687"/>
      <c r="B687"/>
      <c r="P687"/>
      <c r="R687"/>
      <c r="S687"/>
      <c r="T687"/>
    </row>
    <row r="688" spans="1:20" ht="17.25" customHeight="1">
      <c r="A688"/>
      <c r="B688"/>
      <c r="P688"/>
      <c r="R688"/>
      <c r="S688"/>
      <c r="T688"/>
    </row>
    <row r="689" spans="1:20" ht="17.25" customHeight="1">
      <c r="A689"/>
      <c r="B689"/>
      <c r="P689"/>
      <c r="R689"/>
      <c r="S689"/>
      <c r="T689"/>
    </row>
    <row r="690" spans="1:20" ht="17.25" customHeight="1">
      <c r="A690"/>
      <c r="B690"/>
      <c r="P690"/>
      <c r="R690"/>
      <c r="S690"/>
      <c r="T690"/>
    </row>
    <row r="691" spans="1:20" ht="17.25" customHeight="1">
      <c r="A691"/>
      <c r="B691"/>
      <c r="P691"/>
      <c r="R691"/>
      <c r="S691"/>
      <c r="T691"/>
    </row>
    <row r="692" spans="1:20" ht="17.25" customHeight="1">
      <c r="A692"/>
      <c r="B692"/>
      <c r="P692"/>
      <c r="R692"/>
      <c r="S692"/>
      <c r="T692"/>
    </row>
    <row r="693" spans="1:20" ht="17.25" customHeight="1">
      <c r="A693"/>
      <c r="B693"/>
      <c r="P693"/>
      <c r="R693"/>
      <c r="S693"/>
      <c r="T693"/>
    </row>
    <row r="694" spans="1:20" ht="17.25" customHeight="1">
      <c r="A694"/>
      <c r="B694"/>
      <c r="P694"/>
      <c r="R694"/>
      <c r="S694"/>
      <c r="T694"/>
    </row>
    <row r="695" spans="1:20" ht="17.25" customHeight="1">
      <c r="A695"/>
      <c r="B695"/>
      <c r="P695"/>
      <c r="R695"/>
      <c r="S695"/>
      <c r="T695"/>
    </row>
    <row r="696" spans="1:20" ht="17.25" customHeight="1">
      <c r="A696"/>
      <c r="B696"/>
      <c r="P696"/>
      <c r="R696"/>
      <c r="S696"/>
      <c r="T696"/>
    </row>
    <row r="697" spans="1:20" ht="17.25" customHeight="1">
      <c r="A697"/>
      <c r="B697"/>
      <c r="P697"/>
      <c r="R697"/>
      <c r="S697"/>
      <c r="T697"/>
    </row>
    <row r="698" spans="1:20" ht="17.25" customHeight="1">
      <c r="A698"/>
      <c r="B698"/>
      <c r="P698"/>
      <c r="R698"/>
      <c r="S698"/>
      <c r="T698"/>
    </row>
    <row r="699" spans="1:20" ht="17.25" customHeight="1">
      <c r="A699"/>
      <c r="B699"/>
      <c r="P699"/>
      <c r="R699"/>
      <c r="S699"/>
      <c r="T699"/>
    </row>
    <row r="700" spans="1:20" ht="17.25" customHeight="1">
      <c r="A700"/>
      <c r="B700"/>
      <c r="P700"/>
      <c r="R700"/>
      <c r="S700"/>
      <c r="T700"/>
    </row>
    <row r="701" spans="1:20" ht="17.25" customHeight="1">
      <c r="A701"/>
      <c r="B701"/>
      <c r="P701"/>
      <c r="R701"/>
      <c r="S701"/>
      <c r="T701"/>
    </row>
    <row r="702" spans="1:20" ht="17.25" customHeight="1">
      <c r="A702"/>
      <c r="B702"/>
      <c r="P702"/>
      <c r="R702"/>
      <c r="S702"/>
      <c r="T702"/>
    </row>
    <row r="703" spans="1:20" ht="17.25" customHeight="1">
      <c r="A703"/>
      <c r="B703"/>
      <c r="P703"/>
      <c r="R703"/>
      <c r="S703"/>
      <c r="T703"/>
    </row>
    <row r="704" spans="1:20" ht="17.25" customHeight="1">
      <c r="A704"/>
      <c r="B704"/>
      <c r="P704"/>
      <c r="R704"/>
      <c r="S704"/>
      <c r="T704"/>
    </row>
    <row r="705" spans="1:20" ht="17.25" customHeight="1">
      <c r="A705"/>
      <c r="B705"/>
      <c r="P705"/>
      <c r="R705"/>
      <c r="S705"/>
      <c r="T705"/>
    </row>
    <row r="706" spans="1:20" ht="17.25" customHeight="1">
      <c r="A706"/>
      <c r="B706"/>
      <c r="P706"/>
      <c r="R706"/>
      <c r="S706"/>
      <c r="T706"/>
    </row>
    <row r="707" spans="1:20" ht="17.25" customHeight="1">
      <c r="A707"/>
      <c r="B707"/>
      <c r="P707"/>
      <c r="R707"/>
      <c r="S707"/>
      <c r="T707"/>
    </row>
    <row r="708" spans="1:20" ht="17.25" customHeight="1">
      <c r="A708"/>
      <c r="B708"/>
      <c r="P708"/>
      <c r="R708"/>
      <c r="S708"/>
      <c r="T708"/>
    </row>
    <row r="709" spans="1:20" ht="17.25" customHeight="1">
      <c r="A709"/>
      <c r="B709"/>
      <c r="P709"/>
      <c r="R709"/>
      <c r="S709"/>
      <c r="T709"/>
    </row>
    <row r="710" spans="1:20" ht="17.25" customHeight="1">
      <c r="A710"/>
      <c r="B710"/>
      <c r="P710"/>
      <c r="R710"/>
      <c r="S710"/>
      <c r="T710"/>
    </row>
    <row r="711" spans="1:20" ht="17.25" customHeight="1">
      <c r="A711"/>
      <c r="B711"/>
      <c r="P711"/>
      <c r="R711"/>
      <c r="S711"/>
      <c r="T711"/>
    </row>
    <row r="712" spans="1:20" ht="17.25" customHeight="1">
      <c r="A712"/>
      <c r="B712"/>
      <c r="P712"/>
      <c r="R712"/>
      <c r="S712"/>
      <c r="T712"/>
    </row>
    <row r="713" spans="1:20" ht="17.25" customHeight="1">
      <c r="A713"/>
      <c r="B713"/>
      <c r="P713"/>
      <c r="R713"/>
      <c r="S713"/>
      <c r="T713"/>
    </row>
    <row r="714" spans="1:20" ht="17.25" customHeight="1">
      <c r="A714"/>
      <c r="B714"/>
      <c r="P714"/>
      <c r="R714"/>
      <c r="S714"/>
      <c r="T714"/>
    </row>
    <row r="715" spans="1:20" ht="17.25" customHeight="1">
      <c r="A715"/>
      <c r="B715"/>
      <c r="P715"/>
      <c r="R715"/>
      <c r="S715"/>
      <c r="T715"/>
    </row>
    <row r="716" spans="1:20" ht="17.25" customHeight="1">
      <c r="A716"/>
      <c r="B716"/>
      <c r="P716"/>
      <c r="R716"/>
      <c r="S716"/>
      <c r="T716"/>
    </row>
    <row r="717" spans="1:20" ht="17.25" customHeight="1">
      <c r="A717"/>
      <c r="B717"/>
      <c r="P717"/>
      <c r="R717"/>
      <c r="S717"/>
      <c r="T717"/>
    </row>
    <row r="718" spans="1:20" ht="17.25" customHeight="1">
      <c r="A718"/>
      <c r="B718"/>
      <c r="P718"/>
      <c r="R718"/>
      <c r="S718"/>
      <c r="T718"/>
    </row>
    <row r="719" spans="1:20" ht="17.25" customHeight="1">
      <c r="A719"/>
      <c r="B719"/>
      <c r="P719"/>
      <c r="R719"/>
      <c r="S719"/>
      <c r="T719"/>
    </row>
    <row r="720" spans="1:20" ht="17.25" customHeight="1">
      <c r="A720"/>
      <c r="B720"/>
      <c r="P720"/>
      <c r="R720"/>
      <c r="S720"/>
      <c r="T720"/>
    </row>
    <row r="721" spans="1:20" ht="17.25" customHeight="1">
      <c r="A721"/>
      <c r="B721"/>
      <c r="P721"/>
      <c r="R721"/>
      <c r="S721"/>
      <c r="T721"/>
    </row>
    <row r="722" spans="1:20" ht="17.25" customHeight="1">
      <c r="A722"/>
      <c r="B722"/>
      <c r="P722"/>
      <c r="R722"/>
      <c r="S722"/>
      <c r="T722"/>
    </row>
    <row r="723" spans="1:20" ht="17.25" customHeight="1">
      <c r="A723"/>
      <c r="B723"/>
      <c r="P723"/>
      <c r="R723"/>
      <c r="S723"/>
      <c r="T723"/>
    </row>
    <row r="724" spans="1:20" ht="17.25" customHeight="1">
      <c r="A724"/>
      <c r="B724"/>
      <c r="P724"/>
      <c r="R724"/>
      <c r="S724"/>
      <c r="T724"/>
    </row>
    <row r="725" spans="1:20" ht="17.25" customHeight="1">
      <c r="A725"/>
      <c r="B725"/>
      <c r="P725"/>
      <c r="R725"/>
      <c r="S725"/>
      <c r="T725"/>
    </row>
    <row r="726" spans="1:20" ht="17.25" customHeight="1">
      <c r="A726"/>
      <c r="B726"/>
      <c r="P726"/>
      <c r="R726"/>
      <c r="S726"/>
      <c r="T726"/>
    </row>
    <row r="727" spans="1:20" ht="17.25" customHeight="1">
      <c r="A727"/>
      <c r="B727"/>
      <c r="P727"/>
      <c r="R727"/>
      <c r="S727"/>
      <c r="T727"/>
    </row>
    <row r="728" spans="1:20" ht="17.25" customHeight="1">
      <c r="A728"/>
      <c r="B728"/>
      <c r="P728"/>
      <c r="R728"/>
      <c r="S728"/>
      <c r="T728"/>
    </row>
    <row r="729" spans="1:20" ht="17.25" customHeight="1">
      <c r="A729"/>
      <c r="B729"/>
      <c r="P729"/>
      <c r="R729"/>
      <c r="S729"/>
      <c r="T729"/>
    </row>
    <row r="730" spans="1:20" ht="17.25" customHeight="1">
      <c r="A730"/>
      <c r="B730"/>
      <c r="P730"/>
      <c r="R730"/>
      <c r="S730"/>
      <c r="T730"/>
    </row>
    <row r="731" spans="1:20" ht="17.25" customHeight="1">
      <c r="A731"/>
      <c r="B731"/>
      <c r="P731"/>
      <c r="R731"/>
      <c r="S731"/>
      <c r="T731"/>
    </row>
    <row r="732" spans="1:20" ht="17.25" customHeight="1">
      <c r="A732"/>
      <c r="B732"/>
      <c r="P732"/>
      <c r="R732"/>
      <c r="S732"/>
      <c r="T732"/>
    </row>
    <row r="733" spans="1:20" ht="17.25" customHeight="1">
      <c r="A733"/>
      <c r="B733"/>
      <c r="P733"/>
      <c r="R733"/>
      <c r="S733"/>
      <c r="T733"/>
    </row>
    <row r="734" spans="1:20" ht="17.25" customHeight="1">
      <c r="A734"/>
      <c r="B734"/>
      <c r="P734"/>
      <c r="R734"/>
      <c r="S734"/>
      <c r="T734"/>
    </row>
    <row r="735" spans="1:20" ht="17.25" customHeight="1">
      <c r="A735"/>
      <c r="B735"/>
      <c r="P735"/>
      <c r="R735"/>
      <c r="S735"/>
      <c r="T735"/>
    </row>
    <row r="736" spans="1:20" ht="17.25" customHeight="1">
      <c r="A736"/>
      <c r="B736"/>
      <c r="P736"/>
      <c r="R736"/>
      <c r="S736"/>
      <c r="T736"/>
    </row>
    <row r="737" spans="1:20" ht="17.25" customHeight="1">
      <c r="A737"/>
      <c r="B737"/>
      <c r="P737"/>
      <c r="R737"/>
      <c r="S737"/>
      <c r="T737"/>
    </row>
    <row r="738" spans="1:20" ht="17.25" customHeight="1">
      <c r="A738"/>
      <c r="B738"/>
      <c r="P738"/>
      <c r="R738"/>
      <c r="S738"/>
      <c r="T738"/>
    </row>
    <row r="739" spans="1:20" ht="17.25" customHeight="1">
      <c r="A739"/>
      <c r="B739"/>
      <c r="P739"/>
      <c r="R739"/>
      <c r="S739"/>
      <c r="T739"/>
    </row>
    <row r="740" spans="1:20" ht="17.25" customHeight="1">
      <c r="A740"/>
      <c r="B740"/>
      <c r="P740"/>
      <c r="R740"/>
      <c r="S740"/>
      <c r="T740"/>
    </row>
    <row r="741" spans="1:20" ht="17.25" customHeight="1">
      <c r="A741"/>
      <c r="B741"/>
      <c r="P741"/>
      <c r="R741"/>
      <c r="S741"/>
      <c r="T741"/>
    </row>
    <row r="742" spans="1:20" ht="17.25" customHeight="1">
      <c r="A742"/>
      <c r="B742"/>
      <c r="P742"/>
      <c r="R742"/>
      <c r="S742"/>
      <c r="T742"/>
    </row>
    <row r="743" spans="1:20" ht="17.25" customHeight="1">
      <c r="A743"/>
      <c r="B743"/>
      <c r="P743"/>
      <c r="R743"/>
      <c r="S743"/>
      <c r="T743"/>
    </row>
    <row r="744" spans="1:20" ht="17.25" customHeight="1">
      <c r="A744"/>
      <c r="B744"/>
      <c r="P744"/>
      <c r="R744"/>
      <c r="S744"/>
      <c r="T744"/>
    </row>
    <row r="745" spans="1:20" ht="17.25" customHeight="1">
      <c r="A745"/>
      <c r="B745"/>
      <c r="P745"/>
      <c r="R745"/>
      <c r="S745"/>
      <c r="T745"/>
    </row>
    <row r="746" spans="1:20" ht="17.25" customHeight="1">
      <c r="A746"/>
      <c r="B746"/>
      <c r="P746"/>
      <c r="R746"/>
      <c r="S746"/>
      <c r="T746"/>
    </row>
    <row r="747" spans="1:20" ht="17.25" customHeight="1">
      <c r="A747"/>
      <c r="B747"/>
      <c r="P747"/>
      <c r="R747"/>
      <c r="S747"/>
      <c r="T747"/>
    </row>
    <row r="748" spans="1:20" ht="17.25" customHeight="1">
      <c r="A748"/>
      <c r="B748"/>
      <c r="P748"/>
      <c r="R748"/>
      <c r="S748"/>
      <c r="T748"/>
    </row>
    <row r="749" spans="1:20" ht="17.25" customHeight="1">
      <c r="A749"/>
      <c r="B749"/>
      <c r="P749"/>
      <c r="R749"/>
      <c r="S749"/>
      <c r="T749"/>
    </row>
    <row r="750" spans="1:20" ht="17.25" customHeight="1">
      <c r="A750"/>
      <c r="B750"/>
      <c r="P750"/>
      <c r="R750"/>
      <c r="S750"/>
      <c r="T750"/>
    </row>
    <row r="751" spans="1:20" ht="17.25" customHeight="1">
      <c r="A751"/>
      <c r="B751"/>
      <c r="P751"/>
      <c r="R751"/>
      <c r="S751"/>
      <c r="T751"/>
    </row>
    <row r="752" spans="1:20" ht="17.25" customHeight="1">
      <c r="A752"/>
      <c r="B752"/>
      <c r="P752"/>
      <c r="R752"/>
      <c r="S752"/>
      <c r="T752"/>
    </row>
    <row r="753" spans="1:20" ht="17.25" customHeight="1">
      <c r="A753"/>
      <c r="B753"/>
      <c r="P753"/>
      <c r="R753"/>
      <c r="S753"/>
      <c r="T753"/>
    </row>
    <row r="754" spans="1:20" ht="17.25" customHeight="1">
      <c r="A754"/>
      <c r="B754"/>
      <c r="P754"/>
      <c r="R754"/>
      <c r="S754"/>
      <c r="T754"/>
    </row>
    <row r="755" spans="1:20" ht="17.25" customHeight="1">
      <c r="A755"/>
      <c r="B755"/>
      <c r="P755"/>
      <c r="R755"/>
      <c r="S755"/>
      <c r="T755"/>
    </row>
    <row r="756" spans="1:20" ht="17.25" customHeight="1">
      <c r="A756"/>
      <c r="B756"/>
      <c r="P756"/>
      <c r="R756"/>
      <c r="S756"/>
      <c r="T756"/>
    </row>
    <row r="757" spans="1:20" ht="17.25" customHeight="1">
      <c r="A757"/>
      <c r="B757"/>
      <c r="P757"/>
      <c r="R757"/>
      <c r="S757"/>
      <c r="T757"/>
    </row>
    <row r="758" spans="1:20" ht="17.25" customHeight="1">
      <c r="A758"/>
      <c r="B758"/>
      <c r="P758"/>
      <c r="R758"/>
      <c r="S758"/>
      <c r="T758"/>
    </row>
    <row r="759" spans="1:20" ht="17.25" customHeight="1">
      <c r="A759"/>
      <c r="B759"/>
      <c r="P759"/>
      <c r="R759"/>
      <c r="S759"/>
      <c r="T759"/>
    </row>
    <row r="760" spans="1:20" ht="17.25" customHeight="1">
      <c r="A760"/>
      <c r="B760"/>
      <c r="P760"/>
      <c r="R760"/>
      <c r="S760"/>
      <c r="T760"/>
    </row>
    <row r="761" spans="1:20" ht="17.25" customHeight="1">
      <c r="A761"/>
      <c r="B761"/>
      <c r="P761"/>
      <c r="R761"/>
      <c r="S761"/>
      <c r="T761"/>
    </row>
    <row r="762" spans="1:20" ht="17.25" customHeight="1">
      <c r="A762"/>
      <c r="B762"/>
      <c r="P762"/>
      <c r="R762"/>
      <c r="S762"/>
      <c r="T762"/>
    </row>
    <row r="763" spans="1:20" ht="17.25" customHeight="1">
      <c r="A763"/>
      <c r="B763"/>
      <c r="P763"/>
      <c r="R763"/>
      <c r="S763"/>
      <c r="T763"/>
    </row>
    <row r="764" spans="1:20" ht="17.25" customHeight="1">
      <c r="A764"/>
      <c r="B764"/>
      <c r="P764"/>
      <c r="R764"/>
      <c r="S764"/>
      <c r="T764"/>
    </row>
    <row r="765" spans="1:20" ht="17.25" customHeight="1">
      <c r="A765"/>
      <c r="B765"/>
      <c r="P765"/>
      <c r="R765"/>
      <c r="S765"/>
      <c r="T765"/>
    </row>
    <row r="766" spans="1:20" ht="17.25" customHeight="1">
      <c r="A766"/>
      <c r="B766"/>
      <c r="P766"/>
      <c r="R766"/>
      <c r="S766"/>
      <c r="T766"/>
    </row>
    <row r="767" spans="1:20" ht="17.25" customHeight="1">
      <c r="A767"/>
      <c r="B767"/>
      <c r="P767"/>
      <c r="R767"/>
      <c r="S767"/>
      <c r="T767"/>
    </row>
    <row r="768" spans="1:20" ht="17.25" customHeight="1">
      <c r="A768"/>
      <c r="B768"/>
      <c r="P768"/>
      <c r="R768"/>
      <c r="S768"/>
      <c r="T768"/>
    </row>
    <row r="769" spans="1:20" ht="17.25" customHeight="1">
      <c r="A769"/>
      <c r="B769"/>
      <c r="P769"/>
      <c r="R769"/>
      <c r="S769"/>
      <c r="T769"/>
    </row>
    <row r="770" spans="1:20" ht="17.25" customHeight="1">
      <c r="A770"/>
      <c r="B770"/>
      <c r="P770"/>
      <c r="R770"/>
      <c r="S770"/>
      <c r="T770"/>
    </row>
    <row r="771" spans="1:20" ht="17.25" customHeight="1">
      <c r="A771"/>
      <c r="B771"/>
      <c r="P771"/>
      <c r="R771"/>
      <c r="S771"/>
      <c r="T771"/>
    </row>
    <row r="772" spans="1:20" ht="17.25" customHeight="1">
      <c r="A772"/>
      <c r="B772"/>
      <c r="P772"/>
      <c r="R772"/>
      <c r="S772"/>
      <c r="T772"/>
    </row>
    <row r="773" spans="1:20" ht="17.25" customHeight="1">
      <c r="A773"/>
      <c r="B773"/>
      <c r="P773"/>
      <c r="R773"/>
      <c r="S773"/>
      <c r="T773"/>
    </row>
    <row r="774" spans="1:20" ht="17.25" customHeight="1">
      <c r="A774"/>
      <c r="B774"/>
      <c r="P774"/>
      <c r="R774"/>
      <c r="S774"/>
      <c r="T774"/>
    </row>
    <row r="775" spans="1:20" ht="17.25" customHeight="1">
      <c r="A775"/>
      <c r="B775"/>
      <c r="P775"/>
      <c r="R775"/>
      <c r="S775"/>
      <c r="T775"/>
    </row>
    <row r="776" spans="1:20" ht="17.25" customHeight="1">
      <c r="A776"/>
      <c r="B776"/>
      <c r="P776"/>
      <c r="R776"/>
      <c r="S776"/>
      <c r="T776"/>
    </row>
    <row r="777" spans="1:20" ht="17.25" customHeight="1">
      <c r="A777"/>
      <c r="B777"/>
      <c r="P777"/>
      <c r="R777"/>
      <c r="S777"/>
      <c r="T777"/>
    </row>
    <row r="778" spans="1:20" ht="17.25" customHeight="1">
      <c r="A778"/>
      <c r="B778"/>
      <c r="P778"/>
      <c r="R778"/>
      <c r="S778"/>
      <c r="T778"/>
    </row>
    <row r="779" spans="1:20" ht="17.25" customHeight="1">
      <c r="A779"/>
      <c r="B779"/>
      <c r="P779"/>
      <c r="R779"/>
      <c r="S779"/>
      <c r="T779"/>
    </row>
    <row r="780" spans="1:20" ht="17.25" customHeight="1">
      <c r="A780"/>
      <c r="B780"/>
      <c r="P780"/>
      <c r="R780"/>
      <c r="S780"/>
      <c r="T780"/>
    </row>
    <row r="781" spans="1:20" ht="17.25" customHeight="1">
      <c r="A781"/>
      <c r="B781"/>
      <c r="P781"/>
      <c r="R781"/>
      <c r="S781"/>
      <c r="T781"/>
    </row>
    <row r="782" spans="1:20" ht="17.25" customHeight="1">
      <c r="A782"/>
      <c r="B782"/>
      <c r="P782"/>
      <c r="R782"/>
      <c r="S782"/>
      <c r="T782"/>
    </row>
    <row r="783" spans="1:20" ht="17.25" customHeight="1">
      <c r="A783"/>
      <c r="B783"/>
      <c r="P783"/>
      <c r="R783"/>
      <c r="S783"/>
      <c r="T783"/>
    </row>
    <row r="784" spans="1:20" ht="17.25" customHeight="1">
      <c r="A784"/>
      <c r="B784"/>
      <c r="P784"/>
      <c r="R784"/>
      <c r="S784"/>
      <c r="T784"/>
    </row>
    <row r="785" spans="1:20" ht="17.25" customHeight="1">
      <c r="A785"/>
      <c r="B785"/>
      <c r="P785"/>
      <c r="R785"/>
      <c r="S785"/>
      <c r="T785"/>
    </row>
    <row r="786" spans="1:20" ht="17.25" customHeight="1">
      <c r="A786"/>
      <c r="B786"/>
      <c r="P786"/>
      <c r="R786"/>
      <c r="S786"/>
      <c r="T786"/>
    </row>
    <row r="787" spans="1:20" ht="17.25" customHeight="1">
      <c r="A787"/>
      <c r="B787"/>
      <c r="P787"/>
      <c r="R787"/>
      <c r="S787"/>
      <c r="T787"/>
    </row>
    <row r="788" spans="1:20" ht="17.25" customHeight="1">
      <c r="A788"/>
      <c r="B788"/>
      <c r="P788"/>
      <c r="R788"/>
      <c r="S788"/>
      <c r="T788"/>
    </row>
    <row r="789" spans="1:20" ht="17.25" customHeight="1">
      <c r="A789"/>
      <c r="B789"/>
      <c r="P789"/>
      <c r="R789"/>
      <c r="S789"/>
      <c r="T789"/>
    </row>
    <row r="790" spans="1:20" ht="17.25" customHeight="1">
      <c r="A790"/>
      <c r="B790"/>
      <c r="P790"/>
      <c r="R790"/>
      <c r="S790"/>
      <c r="T790"/>
    </row>
    <row r="791" spans="1:20" ht="17.25" customHeight="1">
      <c r="A791"/>
      <c r="B791"/>
      <c r="P791"/>
      <c r="R791"/>
      <c r="S791"/>
      <c r="T791"/>
    </row>
    <row r="792" spans="1:20" ht="17.25" customHeight="1">
      <c r="A792"/>
      <c r="B792"/>
      <c r="P792"/>
      <c r="R792"/>
      <c r="S792"/>
      <c r="T792"/>
    </row>
    <row r="793" spans="1:20" ht="17.25" customHeight="1">
      <c r="A793"/>
      <c r="B793"/>
      <c r="P793"/>
      <c r="R793"/>
      <c r="S793"/>
      <c r="T793"/>
    </row>
    <row r="794" spans="1:20" ht="17.25" customHeight="1">
      <c r="A794"/>
      <c r="B794"/>
      <c r="P794"/>
      <c r="R794"/>
      <c r="S794"/>
      <c r="T794"/>
    </row>
    <row r="795" spans="1:20" ht="17.25" customHeight="1">
      <c r="A795"/>
      <c r="B795"/>
      <c r="P795"/>
      <c r="R795"/>
      <c r="S795"/>
      <c r="T795"/>
    </row>
    <row r="796" spans="1:20" ht="17.25" customHeight="1">
      <c r="A796"/>
      <c r="B796"/>
      <c r="P796"/>
      <c r="R796"/>
      <c r="S796"/>
      <c r="T796"/>
    </row>
    <row r="797" spans="1:20" ht="17.25" customHeight="1">
      <c r="A797"/>
      <c r="B797"/>
      <c r="P797"/>
      <c r="R797"/>
      <c r="S797"/>
      <c r="T797"/>
    </row>
    <row r="798" spans="1:20" ht="17.25" customHeight="1">
      <c r="A798"/>
      <c r="B798"/>
      <c r="P798"/>
      <c r="R798"/>
      <c r="S798"/>
      <c r="T798"/>
    </row>
    <row r="799" spans="1:20" ht="17.25" customHeight="1">
      <c r="A799"/>
      <c r="B799"/>
      <c r="P799"/>
      <c r="R799"/>
      <c r="S799"/>
      <c r="T799"/>
    </row>
    <row r="800" spans="1:20" ht="17.25" customHeight="1">
      <c r="A800"/>
      <c r="B800"/>
      <c r="P800"/>
      <c r="R800"/>
      <c r="S800"/>
      <c r="T800"/>
    </row>
    <row r="801" spans="1:20" ht="17.25" customHeight="1">
      <c r="A801"/>
      <c r="B801"/>
      <c r="P801"/>
      <c r="R801"/>
      <c r="S801"/>
      <c r="T801"/>
    </row>
    <row r="802" spans="1:20" ht="17.25" customHeight="1">
      <c r="A802"/>
      <c r="B802"/>
      <c r="P802"/>
      <c r="R802"/>
      <c r="S802"/>
      <c r="T802"/>
    </row>
    <row r="803" spans="1:20" ht="17.25" customHeight="1">
      <c r="A803"/>
      <c r="B803"/>
      <c r="P803"/>
      <c r="R803"/>
      <c r="S803"/>
      <c r="T803"/>
    </row>
    <row r="804" spans="1:20" ht="17.25" customHeight="1">
      <c r="A804"/>
      <c r="B804"/>
      <c r="P804"/>
      <c r="R804"/>
      <c r="S804"/>
      <c r="T804"/>
    </row>
    <row r="805" spans="1:20" ht="17.25" customHeight="1">
      <c r="A805"/>
      <c r="B805"/>
      <c r="P805"/>
      <c r="R805"/>
      <c r="S805"/>
      <c r="T805"/>
    </row>
    <row r="806" spans="1:20" ht="17.25" customHeight="1">
      <c r="A806"/>
      <c r="B806"/>
      <c r="P806"/>
      <c r="R806"/>
      <c r="S806"/>
      <c r="T806"/>
    </row>
    <row r="807" spans="1:20" ht="17.25" customHeight="1">
      <c r="A807"/>
      <c r="B807"/>
      <c r="P807"/>
      <c r="R807"/>
      <c r="S807"/>
      <c r="T807"/>
    </row>
    <row r="808" spans="1:20" ht="17.25" customHeight="1">
      <c r="A808"/>
      <c r="B808"/>
      <c r="P808"/>
      <c r="R808"/>
      <c r="S808"/>
      <c r="T808"/>
    </row>
    <row r="809" spans="1:20" ht="17.25" customHeight="1">
      <c r="A809"/>
      <c r="B809"/>
      <c r="P809"/>
      <c r="R809"/>
      <c r="S809"/>
      <c r="T809"/>
    </row>
    <row r="810" spans="1:20" ht="17.25" customHeight="1">
      <c r="A810"/>
      <c r="B810"/>
      <c r="P810"/>
      <c r="R810"/>
      <c r="S810"/>
      <c r="T810"/>
    </row>
    <row r="811" spans="1:20" ht="17.25" customHeight="1">
      <c r="A811"/>
      <c r="B811"/>
      <c r="P811"/>
      <c r="R811"/>
      <c r="S811"/>
      <c r="T811"/>
    </row>
    <row r="812" spans="1:20" ht="17.25" customHeight="1">
      <c r="A812"/>
      <c r="B812"/>
      <c r="P812"/>
      <c r="R812"/>
      <c r="S812"/>
      <c r="T812"/>
    </row>
    <row r="813" spans="1:20" ht="17.25" customHeight="1">
      <c r="A813"/>
      <c r="B813"/>
      <c r="P813"/>
      <c r="R813"/>
      <c r="S813"/>
      <c r="T813"/>
    </row>
    <row r="814" spans="1:20" ht="17.25" customHeight="1">
      <c r="A814"/>
      <c r="B814"/>
      <c r="P814"/>
      <c r="R814"/>
      <c r="S814"/>
      <c r="T814"/>
    </row>
    <row r="815" spans="1:20" ht="17.25" customHeight="1">
      <c r="A815"/>
      <c r="B815"/>
      <c r="P815"/>
      <c r="R815"/>
      <c r="S815"/>
      <c r="T815"/>
    </row>
    <row r="816" spans="1:20" ht="17.25" customHeight="1">
      <c r="A816"/>
      <c r="B816"/>
      <c r="P816"/>
      <c r="R816"/>
      <c r="S816"/>
      <c r="T816"/>
    </row>
    <row r="817" spans="1:20" ht="17.25" customHeight="1">
      <c r="A817"/>
      <c r="B817"/>
      <c r="P817"/>
      <c r="R817"/>
      <c r="S817"/>
      <c r="T817"/>
    </row>
    <row r="818" spans="1:20" ht="17.25" customHeight="1">
      <c r="A818"/>
      <c r="B818"/>
      <c r="P818"/>
      <c r="R818"/>
      <c r="S818"/>
      <c r="T818"/>
    </row>
    <row r="819" spans="1:20" ht="17.25" customHeight="1">
      <c r="A819"/>
      <c r="B819"/>
      <c r="P819"/>
      <c r="R819"/>
      <c r="S819"/>
      <c r="T819"/>
    </row>
    <row r="820" spans="1:20" ht="17.25" customHeight="1">
      <c r="A820"/>
      <c r="B820"/>
      <c r="P820"/>
      <c r="R820"/>
      <c r="S820"/>
      <c r="T820"/>
    </row>
    <row r="821" spans="1:20" ht="17.25" customHeight="1">
      <c r="A821"/>
      <c r="B821"/>
      <c r="P821"/>
      <c r="R821"/>
      <c r="S821"/>
      <c r="T821"/>
    </row>
    <row r="822" spans="1:20" ht="17.25" customHeight="1">
      <c r="A822"/>
      <c r="B822"/>
      <c r="P822"/>
      <c r="R822"/>
      <c r="S822"/>
      <c r="T822"/>
    </row>
    <row r="823" spans="1:20" ht="17.25" customHeight="1">
      <c r="A823"/>
      <c r="B823"/>
      <c r="P823"/>
      <c r="R823"/>
      <c r="S823"/>
      <c r="T823"/>
    </row>
    <row r="824" spans="1:20" ht="17.25" customHeight="1">
      <c r="A824"/>
      <c r="B824"/>
      <c r="P824"/>
      <c r="R824"/>
      <c r="S824"/>
      <c r="T824"/>
    </row>
    <row r="825" spans="1:20" ht="17.25" customHeight="1">
      <c r="A825"/>
      <c r="B825"/>
      <c r="P825"/>
      <c r="R825"/>
      <c r="S825"/>
      <c r="T825"/>
    </row>
    <row r="826" spans="1:20" ht="17.25" customHeight="1">
      <c r="A826"/>
      <c r="B826"/>
      <c r="P826"/>
      <c r="R826"/>
      <c r="S826"/>
      <c r="T826"/>
    </row>
    <row r="827" spans="1:20" ht="17.25" customHeight="1">
      <c r="A827"/>
      <c r="B827"/>
      <c r="P827"/>
      <c r="R827"/>
      <c r="S827"/>
      <c r="T827"/>
    </row>
    <row r="828" spans="1:20" ht="17.25" customHeight="1">
      <c r="A828"/>
      <c r="B828"/>
      <c r="P828"/>
      <c r="R828"/>
      <c r="S828"/>
      <c r="T828"/>
    </row>
    <row r="829" spans="1:20" ht="17.25" customHeight="1">
      <c r="A829"/>
      <c r="B829"/>
      <c r="P829"/>
      <c r="R829"/>
      <c r="S829"/>
      <c r="T829"/>
    </row>
    <row r="830" spans="1:20" ht="17.25" customHeight="1">
      <c r="A830"/>
      <c r="B830"/>
      <c r="P830"/>
      <c r="R830"/>
      <c r="S830"/>
      <c r="T830"/>
    </row>
    <row r="831" spans="1:20" ht="17.25" customHeight="1">
      <c r="A831"/>
      <c r="B831"/>
      <c r="P831"/>
      <c r="R831"/>
      <c r="S831"/>
      <c r="T831"/>
    </row>
    <row r="832" spans="1:20" ht="17.25" customHeight="1">
      <c r="A832"/>
      <c r="B832"/>
      <c r="P832"/>
      <c r="R832"/>
      <c r="S832"/>
      <c r="T832"/>
    </row>
    <row r="833" spans="1:20" ht="17.25" customHeight="1">
      <c r="A833"/>
      <c r="B833"/>
      <c r="P833"/>
      <c r="R833"/>
      <c r="S833"/>
      <c r="T833"/>
    </row>
    <row r="834" spans="1:20" ht="17.25" customHeight="1">
      <c r="A834"/>
      <c r="B834"/>
      <c r="P834"/>
      <c r="R834"/>
      <c r="S834"/>
      <c r="T834"/>
    </row>
    <row r="835" spans="1:20" ht="17.25" customHeight="1">
      <c r="A835"/>
      <c r="B835"/>
      <c r="P835"/>
      <c r="R835"/>
      <c r="S835"/>
      <c r="T835"/>
    </row>
    <row r="836" spans="1:20" ht="17.25" customHeight="1">
      <c r="A836"/>
      <c r="B836"/>
      <c r="P836"/>
      <c r="R836"/>
      <c r="S836"/>
      <c r="T836"/>
    </row>
    <row r="837" spans="1:20" ht="17.25" customHeight="1">
      <c r="A837"/>
      <c r="B837"/>
      <c r="P837"/>
      <c r="R837"/>
      <c r="S837"/>
      <c r="T837"/>
    </row>
    <row r="838" spans="1:20" ht="17.25" customHeight="1">
      <c r="A838"/>
      <c r="B838"/>
      <c r="P838"/>
      <c r="R838"/>
      <c r="S838"/>
      <c r="T838"/>
    </row>
    <row r="839" spans="1:20" ht="17.25" customHeight="1">
      <c r="A839"/>
      <c r="B839"/>
      <c r="P839"/>
      <c r="R839"/>
      <c r="S839"/>
      <c r="T839"/>
    </row>
    <row r="840" spans="1:20" ht="17.25" customHeight="1">
      <c r="A840"/>
      <c r="B840"/>
      <c r="P840"/>
      <c r="R840"/>
      <c r="S840"/>
      <c r="T840"/>
    </row>
    <row r="841" spans="1:20" ht="17.25" customHeight="1">
      <c r="A841"/>
      <c r="B841"/>
      <c r="P841"/>
      <c r="R841"/>
      <c r="S841"/>
      <c r="T841"/>
    </row>
    <row r="842" spans="1:20" ht="17.25" customHeight="1">
      <c r="A842"/>
      <c r="B842"/>
      <c r="P842"/>
      <c r="R842"/>
      <c r="S842"/>
      <c r="T842"/>
    </row>
    <row r="843" spans="1:20" ht="17.25" customHeight="1">
      <c r="A843"/>
      <c r="B843"/>
      <c r="P843"/>
      <c r="R843"/>
      <c r="S843"/>
      <c r="T843"/>
    </row>
    <row r="844" spans="1:20" ht="17.25" customHeight="1">
      <c r="A844"/>
      <c r="B844"/>
      <c r="P844"/>
      <c r="R844"/>
      <c r="S844"/>
      <c r="T844"/>
    </row>
    <row r="845" spans="1:20" ht="17.25" customHeight="1">
      <c r="A845"/>
      <c r="B845"/>
      <c r="P845"/>
      <c r="R845"/>
      <c r="S845"/>
      <c r="T845"/>
    </row>
    <row r="846" spans="1:20" ht="17.25" customHeight="1">
      <c r="A846"/>
      <c r="B846"/>
      <c r="P846"/>
      <c r="R846"/>
      <c r="S846"/>
      <c r="T846"/>
    </row>
    <row r="847" spans="1:20" ht="17.25" customHeight="1">
      <c r="A847"/>
      <c r="B847"/>
      <c r="P847"/>
      <c r="R847"/>
      <c r="S847"/>
      <c r="T847"/>
    </row>
    <row r="848" spans="1:20" ht="17.25" customHeight="1">
      <c r="A848"/>
      <c r="B848"/>
      <c r="P848"/>
      <c r="R848"/>
      <c r="S848"/>
      <c r="T848"/>
    </row>
    <row r="849" spans="1:20" ht="17.25" customHeight="1">
      <c r="A849"/>
      <c r="B849"/>
      <c r="P849"/>
      <c r="R849"/>
      <c r="S849"/>
      <c r="T849"/>
    </row>
    <row r="850" spans="1:20" ht="17.25" customHeight="1">
      <c r="A850"/>
      <c r="B850"/>
      <c r="P850"/>
      <c r="R850"/>
      <c r="S850"/>
      <c r="T850"/>
    </row>
    <row r="851" spans="1:20" ht="17.25" customHeight="1">
      <c r="A851"/>
      <c r="B851"/>
      <c r="P851"/>
      <c r="R851"/>
      <c r="S851"/>
      <c r="T851"/>
    </row>
    <row r="852" spans="1:20" ht="17.25" customHeight="1">
      <c r="A852"/>
      <c r="B852"/>
      <c r="P852"/>
      <c r="R852"/>
      <c r="S852"/>
      <c r="T852"/>
    </row>
    <row r="853" spans="1:20" ht="17.25" customHeight="1">
      <c r="A853"/>
      <c r="B853"/>
      <c r="P853"/>
      <c r="R853"/>
      <c r="S853"/>
      <c r="T853"/>
    </row>
    <row r="854" spans="1:20" ht="17.25" customHeight="1">
      <c r="A854"/>
      <c r="B854"/>
      <c r="P854"/>
      <c r="R854"/>
      <c r="S854"/>
      <c r="T854"/>
    </row>
    <row r="855" spans="1:20" ht="17.25" customHeight="1">
      <c r="A855"/>
      <c r="B855"/>
      <c r="P855"/>
      <c r="R855"/>
      <c r="S855"/>
      <c r="T855"/>
    </row>
    <row r="856" spans="1:20" ht="17.25" customHeight="1">
      <c r="A856"/>
      <c r="B856"/>
      <c r="P856"/>
      <c r="R856"/>
      <c r="S856"/>
      <c r="T856"/>
    </row>
    <row r="857" spans="1:20" ht="17.25" customHeight="1">
      <c r="A857"/>
      <c r="B857"/>
      <c r="P857"/>
      <c r="R857"/>
      <c r="S857"/>
      <c r="T857"/>
    </row>
    <row r="858" spans="1:20" ht="17.25" customHeight="1">
      <c r="A858"/>
      <c r="B858"/>
      <c r="P858"/>
      <c r="R858"/>
      <c r="S858"/>
      <c r="T858"/>
    </row>
    <row r="859" spans="1:20" ht="17.25" customHeight="1">
      <c r="A859"/>
      <c r="B859"/>
      <c r="P859"/>
      <c r="R859"/>
      <c r="S859"/>
      <c r="T859"/>
    </row>
    <row r="860" spans="1:20" ht="17.25" customHeight="1">
      <c r="A860"/>
      <c r="B860"/>
      <c r="P860"/>
      <c r="R860"/>
      <c r="S860"/>
      <c r="T860"/>
    </row>
    <row r="861" spans="1:20" ht="17.25" customHeight="1">
      <c r="A861"/>
      <c r="B861"/>
      <c r="P861"/>
      <c r="R861"/>
      <c r="S861"/>
      <c r="T861"/>
    </row>
    <row r="862" spans="1:20" ht="17.25" customHeight="1">
      <c r="A862"/>
      <c r="B862"/>
      <c r="P862"/>
      <c r="R862"/>
      <c r="S862"/>
      <c r="T862"/>
    </row>
    <row r="863" spans="1:20" ht="17.25" customHeight="1">
      <c r="A863"/>
      <c r="B863"/>
      <c r="P863"/>
      <c r="R863"/>
      <c r="S863"/>
      <c r="T863"/>
    </row>
    <row r="864" spans="1:20" ht="17.25" customHeight="1">
      <c r="A864"/>
      <c r="B864"/>
      <c r="P864"/>
      <c r="R864"/>
      <c r="S864"/>
      <c r="T864"/>
    </row>
    <row r="865" spans="1:20" ht="17.25" customHeight="1">
      <c r="A865"/>
      <c r="B865"/>
      <c r="P865"/>
      <c r="R865"/>
      <c r="S865"/>
      <c r="T865"/>
    </row>
    <row r="866" spans="1:20" ht="17.25" customHeight="1">
      <c r="A866"/>
      <c r="B866"/>
      <c r="P866"/>
      <c r="R866"/>
      <c r="S866"/>
      <c r="T866"/>
    </row>
    <row r="867" spans="1:20" ht="17.25" customHeight="1">
      <c r="A867"/>
      <c r="B867"/>
      <c r="P867"/>
      <c r="R867"/>
      <c r="S867"/>
      <c r="T867"/>
    </row>
    <row r="868" spans="1:20" ht="17.25" customHeight="1">
      <c r="A868"/>
      <c r="B868"/>
      <c r="P868"/>
      <c r="R868"/>
      <c r="S868"/>
      <c r="T868"/>
    </row>
    <row r="869" spans="1:20" ht="17.25" customHeight="1">
      <c r="A869"/>
      <c r="B869"/>
      <c r="P869"/>
      <c r="R869"/>
      <c r="S869"/>
      <c r="T869"/>
    </row>
    <row r="870" spans="1:20" ht="17.25" customHeight="1">
      <c r="A870"/>
      <c r="B870"/>
      <c r="P870"/>
      <c r="R870"/>
      <c r="S870"/>
      <c r="T870"/>
    </row>
    <row r="871" spans="1:20" ht="17.25" customHeight="1">
      <c r="A871"/>
      <c r="B871"/>
      <c r="P871"/>
      <c r="R871"/>
      <c r="S871"/>
      <c r="T871"/>
    </row>
    <row r="872" spans="1:20" ht="17.25" customHeight="1">
      <c r="A872"/>
      <c r="B872"/>
      <c r="P872"/>
      <c r="R872"/>
      <c r="S872"/>
      <c r="T872"/>
    </row>
    <row r="873" spans="1:20" ht="17.25" customHeight="1">
      <c r="A873"/>
      <c r="B873"/>
      <c r="P873"/>
      <c r="R873"/>
      <c r="S873"/>
      <c r="T873"/>
    </row>
    <row r="874" spans="1:20" ht="17.25" customHeight="1">
      <c r="A874"/>
      <c r="B874"/>
      <c r="P874"/>
      <c r="R874"/>
      <c r="S874"/>
      <c r="T874"/>
    </row>
    <row r="875" spans="1:20" ht="17.25" customHeight="1">
      <c r="A875"/>
      <c r="B875"/>
      <c r="P875"/>
      <c r="R875"/>
      <c r="S875"/>
      <c r="T875"/>
    </row>
    <row r="876" spans="1:20" ht="17.25" customHeight="1">
      <c r="A876"/>
      <c r="B876"/>
      <c r="P876"/>
      <c r="R876"/>
      <c r="S876"/>
      <c r="T876"/>
    </row>
    <row r="877" spans="1:20" ht="17.25" customHeight="1">
      <c r="A877"/>
      <c r="B877"/>
      <c r="P877"/>
      <c r="R877"/>
      <c r="S877"/>
      <c r="T877"/>
    </row>
    <row r="878" spans="1:20" ht="17.25" customHeight="1">
      <c r="A878"/>
      <c r="B878"/>
      <c r="P878"/>
      <c r="R878"/>
      <c r="S878"/>
      <c r="T878"/>
    </row>
    <row r="879" spans="1:20" ht="17.25" customHeight="1">
      <c r="A879"/>
      <c r="B879"/>
      <c r="P879"/>
      <c r="R879"/>
      <c r="S879"/>
      <c r="T879"/>
    </row>
    <row r="880" spans="1:20" ht="17.25" customHeight="1">
      <c r="A880"/>
      <c r="B880"/>
      <c r="P880"/>
      <c r="R880"/>
      <c r="S880"/>
      <c r="T880"/>
    </row>
    <row r="881" spans="1:20" ht="17.25" customHeight="1">
      <c r="A881"/>
      <c r="B881"/>
      <c r="P881"/>
      <c r="R881"/>
      <c r="S881"/>
      <c r="T881"/>
    </row>
    <row r="882" spans="1:20" ht="17.25" customHeight="1">
      <c r="A882"/>
      <c r="B882"/>
      <c r="P882"/>
      <c r="R882"/>
      <c r="S882"/>
      <c r="T882"/>
    </row>
    <row r="883" spans="1:20" ht="17.25" customHeight="1">
      <c r="A883"/>
      <c r="B883"/>
      <c r="P883"/>
      <c r="R883"/>
      <c r="S883"/>
      <c r="T883"/>
    </row>
    <row r="884" spans="1:20" ht="17.25" customHeight="1">
      <c r="A884"/>
      <c r="B884"/>
      <c r="P884"/>
      <c r="R884"/>
      <c r="S884"/>
      <c r="T884"/>
    </row>
    <row r="885" spans="1:20" ht="17.25" customHeight="1">
      <c r="A885"/>
      <c r="B885"/>
      <c r="P885"/>
      <c r="R885"/>
      <c r="S885"/>
      <c r="T885"/>
    </row>
    <row r="886" spans="1:20" ht="17.25" customHeight="1">
      <c r="A886"/>
      <c r="B886"/>
      <c r="P886"/>
      <c r="R886"/>
      <c r="S886"/>
      <c r="T886"/>
    </row>
    <row r="887" spans="1:20" ht="17.25" customHeight="1">
      <c r="A887"/>
      <c r="B887"/>
      <c r="P887"/>
      <c r="R887"/>
      <c r="S887"/>
      <c r="T887"/>
    </row>
    <row r="888" spans="1:20" ht="17.25" customHeight="1">
      <c r="A888"/>
      <c r="B888"/>
      <c r="P888"/>
      <c r="R888"/>
      <c r="S888"/>
      <c r="T888"/>
    </row>
    <row r="889" spans="1:20" ht="17.25" customHeight="1">
      <c r="A889"/>
      <c r="B889"/>
      <c r="P889"/>
      <c r="R889"/>
      <c r="S889"/>
      <c r="T889"/>
    </row>
    <row r="890" spans="1:20" ht="17.25" customHeight="1">
      <c r="A890"/>
      <c r="B890"/>
      <c r="P890"/>
      <c r="R890"/>
      <c r="S890"/>
      <c r="T890"/>
    </row>
    <row r="891" spans="1:20" ht="17.25" customHeight="1">
      <c r="A891"/>
      <c r="B891"/>
      <c r="P891"/>
      <c r="R891"/>
      <c r="S891"/>
      <c r="T891"/>
    </row>
    <row r="892" spans="1:20" ht="17.25" customHeight="1">
      <c r="A892"/>
      <c r="B892"/>
      <c r="P892"/>
      <c r="R892"/>
      <c r="S892"/>
      <c r="T892"/>
    </row>
    <row r="893" spans="1:20" ht="17.25" customHeight="1">
      <c r="A893"/>
      <c r="B893"/>
      <c r="P893"/>
      <c r="R893"/>
      <c r="S893"/>
      <c r="T893"/>
    </row>
    <row r="894" spans="1:20" ht="17.25" customHeight="1">
      <c r="A894"/>
      <c r="B894"/>
      <c r="P894"/>
      <c r="R894"/>
      <c r="S894"/>
      <c r="T894"/>
    </row>
    <row r="895" spans="1:20" ht="17.25" customHeight="1">
      <c r="A895"/>
      <c r="B895"/>
      <c r="P895"/>
      <c r="R895"/>
      <c r="S895"/>
      <c r="T895"/>
    </row>
    <row r="896" spans="1:20" ht="17.25" customHeight="1">
      <c r="A896"/>
      <c r="B896"/>
      <c r="P896"/>
      <c r="R896"/>
      <c r="S896"/>
      <c r="T896"/>
    </row>
    <row r="897" spans="1:20" ht="17.25" customHeight="1">
      <c r="A897"/>
      <c r="B897"/>
      <c r="P897"/>
      <c r="R897"/>
      <c r="S897"/>
      <c r="T897"/>
    </row>
    <row r="898" spans="1:20" ht="17.25" customHeight="1">
      <c r="A898"/>
      <c r="B898"/>
      <c r="P898"/>
      <c r="R898"/>
      <c r="S898"/>
      <c r="T898"/>
    </row>
    <row r="899" spans="1:20" ht="17.25" customHeight="1">
      <c r="A899"/>
      <c r="B899"/>
      <c r="P899"/>
      <c r="R899"/>
      <c r="S899"/>
      <c r="T899"/>
    </row>
    <row r="900" spans="1:20" ht="17.25" customHeight="1">
      <c r="A900"/>
      <c r="B900"/>
      <c r="P900"/>
      <c r="R900"/>
      <c r="S900"/>
      <c r="T900"/>
    </row>
    <row r="901" spans="1:20" ht="17.25" customHeight="1">
      <c r="A901"/>
      <c r="B901"/>
      <c r="P901"/>
      <c r="R901"/>
      <c r="S901"/>
      <c r="T901"/>
    </row>
    <row r="902" spans="1:20" ht="17.25" customHeight="1">
      <c r="A902"/>
      <c r="B902"/>
      <c r="P902"/>
      <c r="R902"/>
      <c r="S902"/>
      <c r="T902"/>
    </row>
    <row r="903" spans="1:20" ht="17.25" customHeight="1">
      <c r="A903"/>
      <c r="B903"/>
      <c r="P903"/>
      <c r="R903"/>
      <c r="S903"/>
      <c r="T903"/>
    </row>
    <row r="904" spans="1:20" ht="17.25" customHeight="1">
      <c r="A904"/>
      <c r="B904"/>
      <c r="P904"/>
      <c r="R904"/>
      <c r="S904"/>
      <c r="T904"/>
    </row>
    <row r="905" spans="1:20" ht="17.25" customHeight="1">
      <c r="A905"/>
      <c r="B905"/>
      <c r="P905"/>
      <c r="R905"/>
      <c r="S905"/>
      <c r="T905"/>
    </row>
    <row r="906" spans="1:20" ht="17.25" customHeight="1">
      <c r="A906"/>
      <c r="B906"/>
      <c r="P906"/>
      <c r="R906"/>
      <c r="S906"/>
      <c r="T906"/>
    </row>
    <row r="907" spans="1:20" ht="17.25" customHeight="1">
      <c r="A907"/>
      <c r="B907"/>
      <c r="P907"/>
      <c r="R907"/>
      <c r="S907"/>
      <c r="T907"/>
    </row>
    <row r="908" spans="1:20" ht="17.25" customHeight="1">
      <c r="A908"/>
      <c r="B908"/>
      <c r="P908"/>
      <c r="R908"/>
      <c r="S908"/>
      <c r="T908"/>
    </row>
    <row r="909" spans="1:20" ht="17.25" customHeight="1">
      <c r="A909"/>
      <c r="B909"/>
      <c r="P909"/>
      <c r="R909"/>
      <c r="S909"/>
      <c r="T909"/>
    </row>
    <row r="910" spans="1:20" ht="17.25" customHeight="1">
      <c r="A910"/>
      <c r="B910"/>
      <c r="P910"/>
      <c r="R910"/>
      <c r="S910"/>
      <c r="T910"/>
    </row>
    <row r="911" spans="1:20" ht="17.25" customHeight="1">
      <c r="A911"/>
      <c r="B911"/>
      <c r="P911"/>
      <c r="R911"/>
      <c r="S911"/>
      <c r="T911"/>
    </row>
    <row r="912" spans="1:20" ht="17.25" customHeight="1">
      <c r="A912"/>
      <c r="B912"/>
      <c r="P912"/>
      <c r="R912"/>
      <c r="S912"/>
      <c r="T912"/>
    </row>
    <row r="913" spans="1:20" ht="17.25" customHeight="1">
      <c r="A913"/>
      <c r="B913"/>
      <c r="P913"/>
      <c r="R913"/>
      <c r="S913"/>
      <c r="T913"/>
    </row>
    <row r="914" spans="1:20" ht="17.25" customHeight="1">
      <c r="A914"/>
      <c r="B914"/>
      <c r="P914"/>
      <c r="R914"/>
      <c r="S914"/>
      <c r="T914"/>
    </row>
    <row r="915" spans="1:20" ht="17.25" customHeight="1">
      <c r="A915"/>
      <c r="B915"/>
      <c r="P915"/>
      <c r="R915"/>
      <c r="S915"/>
      <c r="T915"/>
    </row>
    <row r="916" spans="1:20" ht="17.25" customHeight="1">
      <c r="A916"/>
      <c r="B916"/>
      <c r="P916"/>
      <c r="R916"/>
      <c r="S916"/>
      <c r="T916"/>
    </row>
    <row r="917" spans="1:20" ht="17.25" customHeight="1">
      <c r="A917"/>
      <c r="B917"/>
      <c r="P917"/>
      <c r="R917"/>
      <c r="S917"/>
      <c r="T917"/>
    </row>
    <row r="918" spans="1:20" ht="17.25" customHeight="1">
      <c r="A918"/>
      <c r="B918"/>
      <c r="P918"/>
      <c r="R918"/>
      <c r="S918"/>
      <c r="T918"/>
    </row>
    <row r="919" spans="1:20" ht="17.25" customHeight="1">
      <c r="A919"/>
      <c r="B919"/>
      <c r="P919"/>
      <c r="R919"/>
      <c r="S919"/>
      <c r="T919"/>
    </row>
    <row r="920" spans="1:20" ht="17.25" customHeight="1">
      <c r="A920"/>
      <c r="B920"/>
      <c r="P920"/>
      <c r="R920"/>
      <c r="S920"/>
      <c r="T920"/>
    </row>
    <row r="921" spans="1:20" ht="17.25" customHeight="1">
      <c r="A921"/>
      <c r="B921"/>
      <c r="P921"/>
      <c r="R921"/>
      <c r="S921"/>
      <c r="T921"/>
    </row>
    <row r="922" spans="1:20" ht="17.25" customHeight="1">
      <c r="A922"/>
      <c r="B922"/>
      <c r="P922"/>
      <c r="R922"/>
      <c r="S922"/>
      <c r="T922"/>
    </row>
    <row r="923" spans="1:20" ht="17.25" customHeight="1">
      <c r="A923"/>
      <c r="B923"/>
      <c r="P923"/>
      <c r="R923"/>
      <c r="S923"/>
      <c r="T923"/>
    </row>
    <row r="924" spans="1:20" ht="17.25" customHeight="1">
      <c r="A924"/>
      <c r="B924"/>
      <c r="P924"/>
      <c r="R924"/>
      <c r="S924"/>
      <c r="T924"/>
    </row>
    <row r="925" spans="1:20" ht="17.25" customHeight="1">
      <c r="A925"/>
      <c r="B925"/>
      <c r="P925"/>
      <c r="R925"/>
      <c r="S925"/>
      <c r="T925"/>
    </row>
    <row r="926" spans="1:20" ht="17.25" customHeight="1">
      <c r="A926"/>
      <c r="B926"/>
      <c r="P926"/>
      <c r="R926"/>
      <c r="S926"/>
      <c r="T926"/>
    </row>
    <row r="927" spans="1:20" ht="17.25" customHeight="1">
      <c r="A927"/>
      <c r="B927"/>
      <c r="P927"/>
      <c r="R927"/>
      <c r="S927"/>
      <c r="T927"/>
    </row>
    <row r="928" spans="1:20" ht="17.25" customHeight="1">
      <c r="A928"/>
      <c r="B928"/>
      <c r="P928"/>
      <c r="R928"/>
      <c r="S928"/>
      <c r="T928"/>
    </row>
    <row r="929" spans="1:20" ht="17.25" customHeight="1">
      <c r="A929"/>
      <c r="B929"/>
      <c r="P929"/>
      <c r="R929"/>
      <c r="S929"/>
      <c r="T929"/>
    </row>
    <row r="930" spans="1:20" ht="17.25" customHeight="1">
      <c r="A930"/>
      <c r="B930"/>
      <c r="P930"/>
      <c r="R930"/>
      <c r="S930"/>
      <c r="T930"/>
    </row>
    <row r="931" spans="1:20" ht="17.25" customHeight="1">
      <c r="A931"/>
      <c r="B931"/>
      <c r="P931"/>
      <c r="R931"/>
      <c r="S931"/>
      <c r="T931"/>
    </row>
    <row r="932" spans="1:20" ht="17.25" customHeight="1">
      <c r="A932"/>
      <c r="B932"/>
      <c r="P932"/>
      <c r="R932"/>
      <c r="S932"/>
      <c r="T932"/>
    </row>
    <row r="933" spans="1:20" ht="17.25" customHeight="1">
      <c r="A933"/>
      <c r="B933"/>
      <c r="P933"/>
      <c r="R933"/>
      <c r="S933"/>
      <c r="T933"/>
    </row>
    <row r="934" spans="1:20" ht="17.25" customHeight="1">
      <c r="A934"/>
      <c r="B934"/>
      <c r="P934"/>
      <c r="R934"/>
      <c r="S934"/>
      <c r="T934"/>
    </row>
    <row r="935" spans="1:20" ht="17.25" customHeight="1">
      <c r="A935"/>
      <c r="B935"/>
      <c r="P935"/>
      <c r="R935"/>
      <c r="S935"/>
      <c r="T935"/>
    </row>
    <row r="936" spans="1:20" ht="17.25" customHeight="1">
      <c r="A936"/>
      <c r="B936"/>
      <c r="P936"/>
      <c r="R936"/>
      <c r="S936"/>
      <c r="T936"/>
    </row>
    <row r="937" spans="1:20" ht="17.25" customHeight="1">
      <c r="A937"/>
      <c r="B937"/>
      <c r="P937"/>
      <c r="R937"/>
      <c r="S937"/>
      <c r="T937"/>
    </row>
    <row r="938" spans="1:20" ht="17.25" customHeight="1">
      <c r="A938"/>
      <c r="B938"/>
      <c r="P938"/>
      <c r="R938"/>
      <c r="S938"/>
      <c r="T938"/>
    </row>
    <row r="939" spans="1:20" ht="17.25" customHeight="1">
      <c r="A939"/>
      <c r="B939"/>
      <c r="P939"/>
      <c r="R939"/>
      <c r="S939"/>
      <c r="T939"/>
    </row>
    <row r="940" spans="1:20" ht="17.25" customHeight="1">
      <c r="A940"/>
      <c r="B940"/>
      <c r="P940"/>
      <c r="R940"/>
      <c r="S940"/>
      <c r="T940"/>
    </row>
    <row r="941" spans="1:20" ht="17.25" customHeight="1">
      <c r="A941"/>
      <c r="B941"/>
      <c r="P941"/>
      <c r="R941"/>
      <c r="S941"/>
      <c r="T941"/>
    </row>
    <row r="942" spans="1:20" ht="17.25" customHeight="1">
      <c r="A942"/>
      <c r="B942"/>
      <c r="P942"/>
      <c r="R942"/>
      <c r="S942"/>
      <c r="T942"/>
    </row>
    <row r="943" spans="1:20" ht="17.25" customHeight="1">
      <c r="A943"/>
      <c r="B943"/>
      <c r="P943"/>
      <c r="R943"/>
      <c r="S943"/>
      <c r="T943"/>
    </row>
    <row r="944" spans="1:20" ht="17.25" customHeight="1">
      <c r="A944"/>
      <c r="B944"/>
      <c r="P944"/>
      <c r="R944"/>
      <c r="S944"/>
      <c r="T944"/>
    </row>
    <row r="945" spans="1:20" ht="17.25" customHeight="1">
      <c r="A945"/>
      <c r="B945"/>
      <c r="P945"/>
      <c r="R945"/>
      <c r="S945"/>
      <c r="T945"/>
    </row>
    <row r="946" spans="1:20" ht="17.25" customHeight="1">
      <c r="A946"/>
      <c r="B946"/>
      <c r="P946"/>
      <c r="R946"/>
      <c r="S946"/>
      <c r="T946"/>
    </row>
    <row r="947" spans="1:20" ht="17.25" customHeight="1">
      <c r="A947"/>
      <c r="B947"/>
      <c r="P947"/>
      <c r="R947"/>
      <c r="S947"/>
      <c r="T947"/>
    </row>
    <row r="948" spans="1:20" ht="17.25" customHeight="1">
      <c r="A948"/>
      <c r="B948"/>
      <c r="P948"/>
      <c r="R948"/>
      <c r="S948"/>
      <c r="T948"/>
    </row>
    <row r="949" spans="1:20" ht="17.25" customHeight="1">
      <c r="A949"/>
      <c r="B949"/>
      <c r="P949"/>
      <c r="R949"/>
      <c r="S949"/>
      <c r="T949"/>
    </row>
    <row r="950" spans="1:20" ht="17.25" customHeight="1">
      <c r="A950"/>
      <c r="B950"/>
      <c r="P950"/>
      <c r="R950"/>
      <c r="S950"/>
      <c r="T950"/>
    </row>
    <row r="951" spans="1:20" ht="17.25" customHeight="1">
      <c r="A951"/>
      <c r="B951"/>
      <c r="P951"/>
      <c r="R951"/>
      <c r="S951"/>
      <c r="T951"/>
    </row>
    <row r="952" spans="1:20" ht="17.25" customHeight="1">
      <c r="A952"/>
      <c r="B952"/>
      <c r="P952"/>
      <c r="R952"/>
      <c r="S952"/>
      <c r="T952"/>
    </row>
    <row r="953" spans="1:20" ht="17.25" customHeight="1">
      <c r="A953"/>
      <c r="B953"/>
      <c r="P953"/>
      <c r="R953"/>
      <c r="S953"/>
      <c r="T953"/>
    </row>
    <row r="954" spans="1:20" ht="17.25" customHeight="1">
      <c r="A954"/>
      <c r="B954"/>
      <c r="P954"/>
      <c r="R954"/>
      <c r="S954"/>
      <c r="T954"/>
    </row>
    <row r="955" spans="1:20" ht="17.25" customHeight="1">
      <c r="A955"/>
      <c r="B955"/>
      <c r="P955"/>
      <c r="R955"/>
      <c r="S955"/>
      <c r="T955"/>
    </row>
    <row r="956" spans="1:20" ht="17.25" customHeight="1">
      <c r="A956"/>
      <c r="B956"/>
      <c r="P956"/>
      <c r="R956"/>
      <c r="S956"/>
      <c r="T956"/>
    </row>
    <row r="957" spans="1:20" ht="17.25" customHeight="1">
      <c r="A957"/>
      <c r="B957"/>
      <c r="P957"/>
      <c r="R957"/>
      <c r="S957"/>
      <c r="T957"/>
    </row>
    <row r="958" spans="1:20" ht="17.25" customHeight="1">
      <c r="A958"/>
      <c r="B958"/>
      <c r="P958"/>
      <c r="R958"/>
      <c r="S958"/>
      <c r="T958"/>
    </row>
    <row r="959" spans="1:20" ht="17.25" customHeight="1">
      <c r="A959"/>
      <c r="B959"/>
      <c r="P959"/>
      <c r="R959"/>
      <c r="S959"/>
      <c r="T959"/>
    </row>
    <row r="960" spans="1:20" ht="17.25" customHeight="1">
      <c r="A960"/>
      <c r="B960"/>
      <c r="P960"/>
      <c r="R960"/>
      <c r="S960"/>
      <c r="T960"/>
    </row>
    <row r="961" spans="1:20" ht="17.25" customHeight="1">
      <c r="A961"/>
      <c r="B961"/>
      <c r="P961"/>
      <c r="R961"/>
      <c r="S961"/>
      <c r="T961"/>
    </row>
    <row r="962" spans="1:20" ht="17.25" customHeight="1">
      <c r="A962"/>
      <c r="B962"/>
      <c r="P962"/>
      <c r="R962"/>
      <c r="S962"/>
      <c r="T962"/>
    </row>
    <row r="963" spans="1:20" ht="17.25" customHeight="1">
      <c r="A963"/>
      <c r="B963"/>
      <c r="P963"/>
      <c r="R963"/>
      <c r="S963"/>
      <c r="T963"/>
    </row>
    <row r="964" spans="1:20" ht="17.25" customHeight="1">
      <c r="A964"/>
      <c r="B964"/>
      <c r="P964"/>
      <c r="R964"/>
      <c r="S964"/>
      <c r="T964"/>
    </row>
    <row r="965" spans="1:20" ht="17.25" customHeight="1">
      <c r="A965"/>
      <c r="B965"/>
      <c r="P965"/>
      <c r="R965"/>
      <c r="S965"/>
      <c r="T965"/>
    </row>
    <row r="966" spans="1:20" ht="17.25" customHeight="1">
      <c r="A966"/>
      <c r="B966"/>
      <c r="P966"/>
      <c r="R966"/>
      <c r="S966"/>
      <c r="T966"/>
    </row>
    <row r="967" spans="1:20" ht="17.25" customHeight="1">
      <c r="A967"/>
      <c r="B967"/>
      <c r="P967"/>
      <c r="R967"/>
      <c r="S967"/>
      <c r="T967"/>
    </row>
    <row r="968" spans="1:20" ht="17.25" customHeight="1">
      <c r="A968"/>
      <c r="B968"/>
      <c r="P968"/>
      <c r="R968"/>
      <c r="S968"/>
      <c r="T968"/>
    </row>
    <row r="969" spans="1:20" ht="17.25" customHeight="1">
      <c r="A969"/>
      <c r="B969"/>
      <c r="P969"/>
      <c r="R969"/>
      <c r="S969"/>
      <c r="T969"/>
    </row>
    <row r="970" spans="1:20" ht="17.25" customHeight="1">
      <c r="A970"/>
      <c r="B970"/>
      <c r="P970"/>
      <c r="R970"/>
      <c r="S970"/>
      <c r="T970"/>
    </row>
    <row r="971" spans="1:20" ht="17.25" customHeight="1">
      <c r="A971"/>
      <c r="B971"/>
      <c r="P971"/>
      <c r="R971"/>
      <c r="S971"/>
      <c r="T971"/>
    </row>
    <row r="972" spans="1:20" ht="17.25" customHeight="1">
      <c r="A972"/>
      <c r="B972"/>
      <c r="P972"/>
      <c r="R972"/>
      <c r="S972"/>
      <c r="T972"/>
    </row>
    <row r="973" spans="1:20" ht="17.25" customHeight="1">
      <c r="A973"/>
      <c r="B973"/>
      <c r="P973"/>
      <c r="R973"/>
      <c r="S973"/>
      <c r="T973"/>
    </row>
    <row r="974" spans="1:20" ht="17.25" customHeight="1">
      <c r="A974"/>
      <c r="B974"/>
      <c r="P974"/>
      <c r="R974"/>
      <c r="S974"/>
      <c r="T974"/>
    </row>
    <row r="975" spans="1:20" ht="17.25" customHeight="1">
      <c r="A975"/>
      <c r="B975"/>
      <c r="P975"/>
      <c r="R975"/>
      <c r="S975"/>
      <c r="T975"/>
    </row>
    <row r="976" spans="1:20" ht="17.25" customHeight="1">
      <c r="A976"/>
      <c r="B976"/>
      <c r="P976"/>
      <c r="R976"/>
      <c r="S976"/>
      <c r="T976"/>
    </row>
    <row r="977" spans="1:20" ht="17.25" customHeight="1">
      <c r="A977"/>
      <c r="B977"/>
      <c r="P977"/>
      <c r="R977"/>
      <c r="S977"/>
      <c r="T977"/>
    </row>
    <row r="978" spans="1:20" ht="17.25" customHeight="1">
      <c r="A978"/>
      <c r="B978"/>
      <c r="P978"/>
      <c r="R978"/>
      <c r="S978"/>
      <c r="T978"/>
    </row>
    <row r="979" spans="1:20" ht="17.25" customHeight="1">
      <c r="A979"/>
      <c r="B979"/>
      <c r="P979"/>
      <c r="R979"/>
      <c r="S979"/>
      <c r="T979"/>
    </row>
    <row r="980" spans="1:20" ht="17.25" customHeight="1">
      <c r="A980"/>
      <c r="B980"/>
      <c r="P980"/>
      <c r="R980"/>
      <c r="S980"/>
      <c r="T980"/>
    </row>
    <row r="981" spans="1:20" ht="17.25" customHeight="1">
      <c r="A981"/>
      <c r="B981"/>
      <c r="P981"/>
      <c r="R981"/>
      <c r="S981"/>
      <c r="T981"/>
    </row>
    <row r="982" spans="1:20" ht="17.25" customHeight="1">
      <c r="A982"/>
      <c r="B982"/>
      <c r="P982"/>
      <c r="R982"/>
      <c r="S982"/>
      <c r="T982"/>
    </row>
    <row r="983" spans="1:20" ht="17.25" customHeight="1">
      <c r="A983"/>
      <c r="B983"/>
      <c r="P983"/>
      <c r="R983"/>
      <c r="S983"/>
      <c r="T983"/>
    </row>
    <row r="984" spans="1:20" ht="17.25" customHeight="1">
      <c r="A984"/>
      <c r="B984"/>
      <c r="P984"/>
      <c r="R984"/>
      <c r="S984"/>
      <c r="T984"/>
    </row>
    <row r="985" spans="1:20" ht="17.25" customHeight="1">
      <c r="A985"/>
      <c r="B985"/>
      <c r="P985"/>
      <c r="R985"/>
      <c r="S985"/>
      <c r="T985"/>
    </row>
    <row r="986" spans="1:20" ht="17.25" customHeight="1">
      <c r="A986"/>
      <c r="B986"/>
      <c r="P986"/>
      <c r="R986"/>
      <c r="S986"/>
      <c r="T986"/>
    </row>
    <row r="987" spans="1:20" ht="17.25" customHeight="1">
      <c r="A987"/>
      <c r="B987"/>
      <c r="P987"/>
      <c r="R987"/>
      <c r="S987"/>
      <c r="T987"/>
    </row>
    <row r="988" spans="1:20" ht="17.25" customHeight="1">
      <c r="A988"/>
      <c r="B988"/>
      <c r="P988"/>
      <c r="R988"/>
      <c r="S988"/>
      <c r="T988"/>
    </row>
    <row r="989" spans="1:20" ht="17.25" customHeight="1">
      <c r="A989"/>
      <c r="B989"/>
      <c r="P989"/>
      <c r="R989"/>
      <c r="S989"/>
      <c r="T989"/>
    </row>
    <row r="990" spans="1:20" ht="17.25" customHeight="1">
      <c r="A990"/>
      <c r="B990"/>
      <c r="P990"/>
      <c r="R990"/>
      <c r="S990"/>
      <c r="T990"/>
    </row>
    <row r="991" spans="1:20" ht="17.25" customHeight="1">
      <c r="A991"/>
      <c r="B991"/>
      <c r="P991"/>
      <c r="R991"/>
      <c r="S991"/>
      <c r="T991"/>
    </row>
    <row r="992" spans="1:20" ht="17.25" customHeight="1">
      <c r="A992"/>
      <c r="B992"/>
      <c r="P992"/>
      <c r="R992"/>
      <c r="S992"/>
      <c r="T992"/>
    </row>
    <row r="993" spans="1:20" ht="17.25" customHeight="1">
      <c r="A993"/>
      <c r="B993"/>
      <c r="P993"/>
      <c r="R993"/>
      <c r="S993"/>
      <c r="T993"/>
    </row>
    <row r="994" spans="1:20" ht="17.25" customHeight="1">
      <c r="A994"/>
      <c r="B994"/>
      <c r="P994"/>
      <c r="R994"/>
      <c r="S994"/>
      <c r="T994"/>
    </row>
    <row r="995" spans="1:20" ht="17.25" customHeight="1">
      <c r="A995"/>
      <c r="B995"/>
      <c r="P995"/>
      <c r="R995"/>
      <c r="S995"/>
      <c r="T995"/>
    </row>
    <row r="996" spans="1:20" ht="17.25" customHeight="1">
      <c r="A996"/>
      <c r="B996"/>
      <c r="P996"/>
      <c r="R996"/>
      <c r="S996"/>
      <c r="T996"/>
    </row>
    <row r="997" spans="1:20" ht="17.25" customHeight="1">
      <c r="A997"/>
      <c r="B997"/>
      <c r="P997"/>
      <c r="R997"/>
      <c r="S997"/>
      <c r="T997"/>
    </row>
    <row r="998" spans="1:20" ht="17.25" customHeight="1">
      <c r="A998"/>
      <c r="B998"/>
      <c r="P998"/>
      <c r="R998"/>
      <c r="S998"/>
      <c r="T998"/>
    </row>
    <row r="999" spans="1:20" ht="17.25" customHeight="1">
      <c r="A999"/>
      <c r="B999"/>
      <c r="P999"/>
      <c r="R999"/>
      <c r="S999"/>
      <c r="T999"/>
    </row>
    <row r="1000" spans="1:20" ht="17.25" customHeight="1">
      <c r="A1000"/>
      <c r="B1000"/>
      <c r="P1000"/>
      <c r="R1000"/>
      <c r="S1000"/>
      <c r="T1000"/>
    </row>
    <row r="1001" spans="1:20" ht="17.25" customHeight="1">
      <c r="A1001"/>
      <c r="B1001"/>
      <c r="P1001"/>
      <c r="R1001"/>
      <c r="S1001"/>
      <c r="T1001"/>
    </row>
    <row r="1002" spans="1:20" ht="17.25" customHeight="1">
      <c r="A1002"/>
      <c r="B1002"/>
      <c r="P1002"/>
      <c r="R1002"/>
      <c r="S1002"/>
      <c r="T1002"/>
    </row>
    <row r="1003" spans="1:20" ht="17.25" customHeight="1">
      <c r="A1003"/>
      <c r="B1003"/>
      <c r="P1003"/>
      <c r="R1003"/>
      <c r="S1003"/>
      <c r="T1003"/>
    </row>
    <row r="1004" spans="1:20" ht="17.25" customHeight="1">
      <c r="A1004"/>
      <c r="B1004"/>
      <c r="P1004"/>
      <c r="R1004"/>
      <c r="S1004"/>
      <c r="T1004"/>
    </row>
    <row r="1005" spans="1:20" ht="17.25" customHeight="1">
      <c r="A1005"/>
      <c r="B1005"/>
      <c r="P1005"/>
      <c r="R1005"/>
      <c r="S1005"/>
      <c r="T1005"/>
    </row>
    <row r="1006" spans="1:20" ht="17.25" customHeight="1">
      <c r="A1006"/>
      <c r="B1006"/>
      <c r="P1006"/>
      <c r="R1006"/>
      <c r="S1006"/>
      <c r="T1006"/>
    </row>
    <row r="1007" spans="1:20" ht="17.25" customHeight="1">
      <c r="A1007"/>
      <c r="B1007"/>
      <c r="P1007"/>
      <c r="R1007"/>
      <c r="S1007"/>
      <c r="T1007"/>
    </row>
    <row r="1008" spans="1:20" ht="17.25" customHeight="1">
      <c r="A1008"/>
      <c r="B1008"/>
      <c r="P1008"/>
      <c r="R1008"/>
      <c r="S1008"/>
      <c r="T1008"/>
    </row>
    <row r="1009" spans="1:20" ht="17.25" customHeight="1">
      <c r="A1009"/>
      <c r="B1009"/>
      <c r="P1009"/>
      <c r="R1009"/>
      <c r="S1009"/>
      <c r="T1009"/>
    </row>
    <row r="1010" spans="1:20" ht="17.25" customHeight="1">
      <c r="A1010"/>
      <c r="B1010"/>
      <c r="P1010"/>
      <c r="R1010"/>
      <c r="S1010"/>
      <c r="T1010"/>
    </row>
    <row r="1011" spans="1:20" ht="17.25" customHeight="1">
      <c r="A1011"/>
      <c r="B1011"/>
      <c r="P1011"/>
      <c r="R1011"/>
      <c r="S1011"/>
      <c r="T1011"/>
    </row>
    <row r="1012" spans="1:20" ht="17.25" customHeight="1">
      <c r="A1012"/>
      <c r="B1012"/>
      <c r="P1012"/>
      <c r="R1012"/>
      <c r="S1012"/>
      <c r="T1012"/>
    </row>
    <row r="1013" spans="1:20" ht="17.25" customHeight="1">
      <c r="A1013"/>
      <c r="B1013"/>
      <c r="P1013"/>
      <c r="R1013"/>
      <c r="S1013"/>
      <c r="T1013"/>
    </row>
    <row r="1014" spans="1:20" ht="17.25" customHeight="1">
      <c r="A1014"/>
      <c r="B1014"/>
      <c r="P1014"/>
      <c r="R1014"/>
      <c r="S1014"/>
      <c r="T1014"/>
    </row>
    <row r="1015" spans="1:20" ht="17.25" customHeight="1">
      <c r="A1015"/>
      <c r="B1015"/>
      <c r="P1015"/>
      <c r="R1015"/>
      <c r="S1015"/>
      <c r="T1015"/>
    </row>
    <row r="1016" spans="1:20" ht="17.25" customHeight="1">
      <c r="A1016"/>
      <c r="B1016"/>
      <c r="P1016"/>
      <c r="R1016"/>
      <c r="S1016"/>
      <c r="T1016"/>
    </row>
    <row r="1017" spans="1:20" ht="17.25" customHeight="1">
      <c r="A1017"/>
      <c r="B1017"/>
      <c r="P1017"/>
      <c r="R1017"/>
      <c r="S1017"/>
      <c r="T1017"/>
    </row>
    <row r="1018" spans="1:20" ht="17.25" customHeight="1">
      <c r="A1018"/>
      <c r="B1018"/>
      <c r="P1018"/>
      <c r="R1018"/>
      <c r="S1018"/>
      <c r="T1018"/>
    </row>
    <row r="1019" spans="1:20" ht="17.25" customHeight="1">
      <c r="A1019"/>
      <c r="B1019"/>
      <c r="P1019"/>
      <c r="R1019"/>
      <c r="S1019"/>
      <c r="T1019"/>
    </row>
    <row r="1020" spans="1:20" ht="17.25" customHeight="1">
      <c r="A1020"/>
      <c r="B1020"/>
      <c r="P1020"/>
      <c r="R1020"/>
      <c r="S1020"/>
      <c r="T1020"/>
    </row>
    <row r="1021" spans="1:20" ht="17.25" customHeight="1">
      <c r="A1021"/>
      <c r="B1021"/>
      <c r="P1021"/>
      <c r="R1021"/>
      <c r="S1021"/>
      <c r="T1021"/>
    </row>
    <row r="1022" spans="1:20" ht="17.25" customHeight="1">
      <c r="A1022"/>
      <c r="B1022"/>
      <c r="P1022"/>
      <c r="R1022"/>
      <c r="S1022"/>
      <c r="T1022"/>
    </row>
    <row r="1023" spans="1:20" ht="17.25" customHeight="1">
      <c r="A1023"/>
      <c r="B1023"/>
      <c r="P1023"/>
      <c r="R1023"/>
      <c r="S1023"/>
      <c r="T1023"/>
    </row>
    <row r="1024" spans="1:20" ht="17.25" customHeight="1">
      <c r="A1024"/>
      <c r="B1024"/>
      <c r="P1024"/>
      <c r="R1024"/>
      <c r="S1024"/>
      <c r="T1024"/>
    </row>
    <row r="1025" spans="1:20" ht="17.25" customHeight="1">
      <c r="A1025"/>
      <c r="B1025"/>
      <c r="P1025"/>
      <c r="R1025"/>
      <c r="S1025"/>
      <c r="T1025"/>
    </row>
    <row r="1026" spans="1:20" ht="17.25" customHeight="1">
      <c r="A1026"/>
      <c r="B1026"/>
      <c r="P1026"/>
      <c r="R1026"/>
      <c r="S1026"/>
      <c r="T1026"/>
    </row>
    <row r="1027" spans="1:20" ht="17.25" customHeight="1">
      <c r="A1027"/>
      <c r="B1027"/>
      <c r="P1027"/>
      <c r="R1027"/>
      <c r="S1027"/>
      <c r="T1027"/>
    </row>
    <row r="1028" spans="1:20" ht="17.25" customHeight="1">
      <c r="A1028"/>
      <c r="B1028"/>
      <c r="P1028"/>
      <c r="R1028"/>
      <c r="S1028"/>
      <c r="T1028"/>
    </row>
    <row r="1029" spans="1:20" ht="17.25" customHeight="1">
      <c r="A1029"/>
      <c r="B1029"/>
      <c r="P1029"/>
      <c r="R1029"/>
      <c r="S1029"/>
      <c r="T1029"/>
    </row>
    <row r="1030" spans="1:20" ht="17.25" customHeight="1">
      <c r="A1030"/>
      <c r="B1030"/>
      <c r="P1030"/>
      <c r="R1030"/>
      <c r="S1030"/>
      <c r="T1030"/>
    </row>
    <row r="1031" spans="1:20" ht="17.25" customHeight="1">
      <c r="A1031"/>
      <c r="B1031"/>
      <c r="P1031"/>
      <c r="R1031"/>
      <c r="S1031"/>
      <c r="T1031"/>
    </row>
    <row r="1032" spans="1:20" ht="17.25" customHeight="1">
      <c r="A1032"/>
      <c r="B1032"/>
      <c r="P1032"/>
      <c r="R1032"/>
      <c r="S1032"/>
      <c r="T1032"/>
    </row>
    <row r="1033" spans="1:20" ht="17.25" customHeight="1">
      <c r="A1033"/>
      <c r="B1033"/>
      <c r="P1033"/>
      <c r="R1033"/>
      <c r="S1033"/>
      <c r="T1033"/>
    </row>
    <row r="1034" spans="1:20" ht="17.25" customHeight="1">
      <c r="A1034"/>
      <c r="B1034"/>
      <c r="P1034"/>
      <c r="R1034"/>
      <c r="S1034"/>
      <c r="T1034"/>
    </row>
    <row r="1035" spans="1:20" ht="17.25" customHeight="1">
      <c r="A1035"/>
      <c r="B1035"/>
      <c r="P1035"/>
      <c r="R1035"/>
      <c r="S1035"/>
      <c r="T1035"/>
    </row>
    <row r="1036" spans="1:20" ht="17.25" customHeight="1">
      <c r="A1036"/>
      <c r="B1036"/>
      <c r="P1036"/>
      <c r="R1036"/>
      <c r="S1036"/>
      <c r="T1036"/>
    </row>
    <row r="1037" spans="1:20" ht="17.25" customHeight="1">
      <c r="A1037"/>
      <c r="B1037"/>
      <c r="P1037"/>
      <c r="R1037"/>
      <c r="S1037"/>
      <c r="T1037"/>
    </row>
    <row r="1038" spans="1:20" ht="17.25" customHeight="1">
      <c r="A1038"/>
      <c r="B1038"/>
      <c r="P1038"/>
      <c r="R1038"/>
      <c r="S1038"/>
      <c r="T1038"/>
    </row>
    <row r="1039" spans="1:20" ht="17.25" customHeight="1">
      <c r="A1039"/>
      <c r="B1039"/>
      <c r="P1039"/>
      <c r="R1039"/>
      <c r="S1039"/>
      <c r="T1039"/>
    </row>
    <row r="1040" spans="1:20" ht="17.25" customHeight="1">
      <c r="A1040"/>
      <c r="B1040"/>
      <c r="P1040"/>
      <c r="R1040"/>
      <c r="S1040"/>
      <c r="T1040"/>
    </row>
    <row r="1041" spans="1:20" ht="17.25" customHeight="1">
      <c r="A1041"/>
      <c r="B1041"/>
      <c r="P1041"/>
      <c r="R1041"/>
      <c r="S1041"/>
      <c r="T1041"/>
    </row>
    <row r="1042" spans="1:20" ht="17.25" customHeight="1">
      <c r="A1042"/>
      <c r="B1042"/>
      <c r="P1042"/>
      <c r="R1042"/>
      <c r="S1042"/>
      <c r="T1042"/>
    </row>
    <row r="1043" spans="1:20" ht="17.25" customHeight="1">
      <c r="A1043"/>
      <c r="B1043"/>
      <c r="P1043"/>
      <c r="R1043"/>
      <c r="S1043"/>
      <c r="T1043"/>
    </row>
    <row r="1044" spans="1:20" ht="17.25" customHeight="1">
      <c r="A1044"/>
      <c r="B1044"/>
      <c r="P1044"/>
      <c r="R1044"/>
      <c r="S1044"/>
      <c r="T1044"/>
    </row>
    <row r="1045" spans="1:20" ht="17.25" customHeight="1">
      <c r="A1045"/>
      <c r="B1045"/>
      <c r="P1045"/>
      <c r="R1045"/>
      <c r="S1045"/>
      <c r="T1045"/>
    </row>
    <row r="1046" spans="1:20" ht="17.25" customHeight="1">
      <c r="A1046"/>
      <c r="B1046"/>
      <c r="P1046"/>
      <c r="R1046"/>
      <c r="S1046"/>
      <c r="T1046"/>
    </row>
    <row r="1047" spans="1:20" ht="17.25" customHeight="1">
      <c r="A1047"/>
      <c r="B1047"/>
      <c r="P1047"/>
      <c r="R1047"/>
      <c r="S1047"/>
      <c r="T1047"/>
    </row>
    <row r="1048" spans="1:20" ht="17.25" customHeight="1">
      <c r="A1048"/>
      <c r="B1048"/>
      <c r="P1048"/>
      <c r="R1048"/>
      <c r="S1048"/>
      <c r="T1048"/>
    </row>
    <row r="1049" spans="1:20" ht="17.25" customHeight="1">
      <c r="A1049"/>
      <c r="B1049"/>
      <c r="P1049"/>
      <c r="R1049"/>
      <c r="S1049"/>
      <c r="T1049"/>
    </row>
    <row r="1050" spans="1:20" ht="17.25" customHeight="1">
      <c r="A1050"/>
      <c r="B1050"/>
      <c r="P1050"/>
      <c r="R1050"/>
      <c r="S1050"/>
      <c r="T1050"/>
    </row>
    <row r="1051" spans="1:20" ht="17.25" customHeight="1">
      <c r="A1051"/>
      <c r="B1051"/>
      <c r="P1051"/>
      <c r="R1051"/>
      <c r="S1051"/>
      <c r="T1051"/>
    </row>
    <row r="1052" spans="1:20" ht="17.25" customHeight="1">
      <c r="A1052"/>
      <c r="B1052"/>
      <c r="P1052"/>
      <c r="R1052"/>
      <c r="S1052"/>
      <c r="T1052"/>
    </row>
    <row r="1053" spans="1:20" ht="17.25" customHeight="1">
      <c r="A1053"/>
      <c r="B1053"/>
      <c r="P1053"/>
      <c r="R1053"/>
      <c r="S1053"/>
      <c r="T1053"/>
    </row>
    <row r="1054" spans="1:20" ht="17.25" customHeight="1">
      <c r="A1054"/>
      <c r="B1054"/>
      <c r="P1054"/>
      <c r="R1054"/>
      <c r="S1054"/>
      <c r="T1054"/>
    </row>
    <row r="1055" spans="1:20" ht="17.25" customHeight="1">
      <c r="A1055"/>
      <c r="B1055"/>
      <c r="P1055"/>
      <c r="R1055"/>
      <c r="S1055"/>
      <c r="T1055"/>
    </row>
    <row r="1056" spans="1:20" ht="17.25" customHeight="1">
      <c r="A1056"/>
      <c r="B1056"/>
      <c r="P1056"/>
      <c r="R1056"/>
      <c r="S1056"/>
      <c r="T1056"/>
    </row>
    <row r="1057" spans="1:20" ht="17.25" customHeight="1">
      <c r="A1057"/>
      <c r="B1057"/>
      <c r="P1057"/>
      <c r="R1057"/>
      <c r="S1057"/>
      <c r="T1057"/>
    </row>
    <row r="1058" spans="1:20" ht="17.25" customHeight="1">
      <c r="A1058"/>
      <c r="B1058"/>
      <c r="P1058"/>
      <c r="R1058"/>
      <c r="S1058"/>
      <c r="T1058"/>
    </row>
    <row r="1059" spans="1:20" ht="17.25" customHeight="1">
      <c r="A1059"/>
      <c r="B1059"/>
      <c r="P1059"/>
      <c r="R1059"/>
      <c r="S1059"/>
      <c r="T1059"/>
    </row>
    <row r="1060" spans="1:20" ht="17.25" customHeight="1">
      <c r="A1060"/>
      <c r="B1060"/>
      <c r="P1060"/>
      <c r="R1060"/>
      <c r="S1060"/>
      <c r="T1060"/>
    </row>
    <row r="1061" spans="1:20" ht="17.25" customHeight="1">
      <c r="A1061"/>
      <c r="B1061"/>
      <c r="P1061"/>
      <c r="R1061"/>
      <c r="S1061"/>
      <c r="T1061"/>
    </row>
    <row r="1062" spans="1:20" ht="17.25" customHeight="1">
      <c r="A1062"/>
      <c r="B1062"/>
      <c r="P1062"/>
      <c r="R1062"/>
      <c r="S1062"/>
      <c r="T1062"/>
    </row>
    <row r="1063" spans="1:20" ht="17.25" customHeight="1">
      <c r="A1063"/>
      <c r="B1063"/>
      <c r="P1063"/>
      <c r="R1063"/>
      <c r="S1063"/>
      <c r="T1063"/>
    </row>
    <row r="1064" spans="1:20" ht="17.25" customHeight="1">
      <c r="A1064"/>
      <c r="B1064"/>
      <c r="P1064"/>
      <c r="R1064"/>
      <c r="S1064"/>
      <c r="T1064"/>
    </row>
    <row r="1065" spans="1:20" ht="17.25" customHeight="1">
      <c r="A1065"/>
      <c r="B1065"/>
      <c r="P1065"/>
      <c r="R1065"/>
      <c r="S1065"/>
      <c r="T1065"/>
    </row>
    <row r="1066" spans="1:20" ht="17.25" customHeight="1">
      <c r="A1066"/>
      <c r="B1066"/>
      <c r="P1066"/>
      <c r="R1066"/>
      <c r="S1066"/>
      <c r="T1066"/>
    </row>
    <row r="1067" spans="1:20" ht="17.25" customHeight="1">
      <c r="A1067"/>
      <c r="B1067"/>
      <c r="P1067"/>
      <c r="R1067"/>
      <c r="S1067"/>
      <c r="T1067"/>
    </row>
    <row r="1068" spans="1:20" ht="17.25" customHeight="1">
      <c r="A1068"/>
      <c r="B1068"/>
      <c r="P1068"/>
      <c r="R1068"/>
      <c r="S1068"/>
      <c r="T1068"/>
    </row>
    <row r="1069" spans="1:20" ht="17.25" customHeight="1">
      <c r="A1069"/>
      <c r="B1069"/>
      <c r="P1069"/>
      <c r="R1069"/>
      <c r="S1069"/>
      <c r="T1069"/>
    </row>
    <row r="1070" spans="1:20" ht="17.25" customHeight="1">
      <c r="A1070"/>
      <c r="B1070"/>
      <c r="P1070"/>
      <c r="R1070"/>
      <c r="S1070"/>
      <c r="T1070"/>
    </row>
    <row r="1071" spans="1:20" ht="17.25" customHeight="1">
      <c r="A1071"/>
      <c r="B1071"/>
      <c r="P1071"/>
      <c r="R1071"/>
      <c r="S1071"/>
      <c r="T1071"/>
    </row>
    <row r="1072" spans="1:20" ht="17.25" customHeight="1">
      <c r="A1072"/>
      <c r="B1072"/>
      <c r="P1072"/>
      <c r="R1072"/>
      <c r="S1072"/>
      <c r="T1072"/>
    </row>
    <row r="1073" spans="1:20" ht="17.25" customHeight="1">
      <c r="A1073"/>
      <c r="B1073"/>
      <c r="P1073"/>
      <c r="R1073"/>
      <c r="S1073"/>
      <c r="T1073"/>
    </row>
    <row r="1074" spans="1:20" ht="17.25" customHeight="1">
      <c r="A1074"/>
      <c r="B1074"/>
      <c r="P1074"/>
      <c r="R1074"/>
      <c r="S1074"/>
      <c r="T1074"/>
    </row>
    <row r="1075" spans="1:20" ht="17.25" customHeight="1">
      <c r="A1075"/>
      <c r="B1075"/>
      <c r="P1075"/>
      <c r="R1075"/>
      <c r="S1075"/>
      <c r="T1075"/>
    </row>
    <row r="1076" spans="1:20" ht="17.25" customHeight="1">
      <c r="A1076"/>
      <c r="B1076"/>
      <c r="P1076"/>
      <c r="R1076"/>
      <c r="S1076"/>
      <c r="T1076"/>
    </row>
    <row r="1077" spans="1:20" ht="17.25" customHeight="1">
      <c r="A1077"/>
      <c r="B1077"/>
      <c r="P1077"/>
      <c r="R1077"/>
      <c r="S1077"/>
      <c r="T1077"/>
    </row>
    <row r="1078" spans="1:20" ht="17.25" customHeight="1">
      <c r="A1078"/>
      <c r="B1078"/>
      <c r="P1078"/>
      <c r="R1078"/>
      <c r="S1078"/>
      <c r="T1078"/>
    </row>
    <row r="1079" spans="1:20" ht="17.25" customHeight="1">
      <c r="A1079"/>
      <c r="B1079"/>
      <c r="P1079"/>
      <c r="R1079"/>
      <c r="S1079"/>
      <c r="T1079"/>
    </row>
    <row r="1080" spans="1:20" ht="17.25" customHeight="1">
      <c r="A1080"/>
      <c r="B1080"/>
      <c r="P1080"/>
      <c r="R1080"/>
      <c r="S1080"/>
      <c r="T1080"/>
    </row>
    <row r="1081" spans="1:20" ht="17.25" customHeight="1">
      <c r="A1081"/>
      <c r="B1081"/>
      <c r="P1081"/>
      <c r="R1081"/>
      <c r="S1081"/>
      <c r="T1081"/>
    </row>
    <row r="1082" spans="1:20" ht="17.25" customHeight="1">
      <c r="A1082"/>
      <c r="B1082"/>
      <c r="P1082"/>
      <c r="R1082"/>
      <c r="S1082"/>
      <c r="T1082"/>
    </row>
    <row r="1083" spans="1:20" ht="17.25" customHeight="1">
      <c r="A1083"/>
      <c r="B1083"/>
      <c r="P1083"/>
      <c r="R1083"/>
      <c r="S1083"/>
      <c r="T1083"/>
    </row>
    <row r="1084" spans="1:20" ht="17.25" customHeight="1">
      <c r="A1084"/>
      <c r="B1084"/>
      <c r="P1084"/>
      <c r="R1084"/>
      <c r="S1084"/>
      <c r="T1084"/>
    </row>
    <row r="1085" spans="1:20" ht="17.25" customHeight="1">
      <c r="A1085"/>
      <c r="B1085"/>
      <c r="P1085"/>
      <c r="R1085"/>
      <c r="S1085"/>
      <c r="T1085"/>
    </row>
    <row r="1086" spans="1:20" ht="17.25" customHeight="1">
      <c r="A1086"/>
      <c r="B1086"/>
      <c r="P1086"/>
      <c r="R1086"/>
      <c r="S1086"/>
      <c r="T1086"/>
    </row>
    <row r="1087" spans="1:20" ht="17.25" customHeight="1">
      <c r="A1087"/>
      <c r="B1087"/>
      <c r="P1087"/>
      <c r="R1087"/>
      <c r="S1087"/>
      <c r="T1087"/>
    </row>
    <row r="1088" spans="1:20" ht="17.25" customHeight="1">
      <c r="A1088"/>
      <c r="B1088"/>
      <c r="P1088"/>
      <c r="R1088"/>
      <c r="S1088"/>
      <c r="T1088"/>
    </row>
    <row r="1089" spans="1:20" ht="17.25" customHeight="1">
      <c r="A1089"/>
      <c r="B1089"/>
      <c r="P1089"/>
      <c r="R1089"/>
      <c r="S1089"/>
      <c r="T1089"/>
    </row>
    <row r="1090" spans="1:20" ht="17.25" customHeight="1">
      <c r="A1090"/>
      <c r="B1090"/>
      <c r="P1090"/>
      <c r="R1090"/>
      <c r="S1090"/>
      <c r="T1090"/>
    </row>
    <row r="1091" spans="1:20" ht="17.25" customHeight="1">
      <c r="A1091"/>
      <c r="B1091"/>
      <c r="P1091"/>
      <c r="R1091"/>
      <c r="S1091"/>
      <c r="T1091"/>
    </row>
    <row r="1092" spans="1:20" ht="17.25" customHeight="1">
      <c r="A1092"/>
      <c r="B1092"/>
      <c r="P1092"/>
      <c r="R1092"/>
      <c r="S1092"/>
      <c r="T1092"/>
    </row>
    <row r="1093" spans="1:20" ht="17.25" customHeight="1">
      <c r="A1093"/>
      <c r="B1093"/>
      <c r="P1093"/>
      <c r="R1093"/>
      <c r="S1093"/>
      <c r="T1093"/>
    </row>
    <row r="1094" spans="1:20" ht="17.25" customHeight="1">
      <c r="A1094"/>
      <c r="B1094"/>
      <c r="P1094"/>
      <c r="R1094"/>
      <c r="S1094"/>
      <c r="T1094"/>
    </row>
    <row r="1095" spans="1:20" ht="17.25" customHeight="1">
      <c r="A1095"/>
      <c r="B1095"/>
      <c r="P1095"/>
      <c r="R1095"/>
      <c r="S1095"/>
      <c r="T1095"/>
    </row>
    <row r="1096" spans="1:20" ht="17.25" customHeight="1">
      <c r="A1096"/>
      <c r="B1096"/>
      <c r="P1096"/>
      <c r="R1096"/>
      <c r="S1096"/>
      <c r="T1096"/>
    </row>
    <row r="1097" spans="1:20" ht="17.25" customHeight="1">
      <c r="A1097"/>
      <c r="B1097"/>
      <c r="P1097"/>
      <c r="R1097"/>
      <c r="S1097"/>
      <c r="T1097"/>
    </row>
    <row r="1098" spans="1:20" ht="17.25" customHeight="1">
      <c r="A1098"/>
      <c r="B1098"/>
      <c r="P1098"/>
      <c r="R1098"/>
      <c r="S1098"/>
      <c r="T1098"/>
    </row>
    <row r="1099" spans="1:20" ht="17.25" customHeight="1">
      <c r="A1099"/>
      <c r="B1099"/>
      <c r="P1099"/>
      <c r="R1099"/>
      <c r="S1099"/>
      <c r="T1099"/>
    </row>
    <row r="1100" spans="1:20" ht="17.25" customHeight="1">
      <c r="A1100"/>
      <c r="B1100"/>
      <c r="P1100"/>
      <c r="R1100"/>
      <c r="S1100"/>
      <c r="T1100"/>
    </row>
    <row r="1101" spans="1:20" ht="17.25" customHeight="1">
      <c r="A1101"/>
      <c r="B1101"/>
      <c r="P1101"/>
      <c r="R1101"/>
      <c r="S1101"/>
      <c r="T1101"/>
    </row>
    <row r="1102" spans="1:20" ht="17.25" customHeight="1">
      <c r="A1102"/>
      <c r="B1102"/>
      <c r="P1102"/>
      <c r="R1102"/>
      <c r="S1102"/>
      <c r="T1102"/>
    </row>
    <row r="1103" spans="1:20" ht="17.25" customHeight="1">
      <c r="A1103"/>
      <c r="B1103"/>
      <c r="P1103"/>
      <c r="R1103"/>
      <c r="S1103"/>
      <c r="T1103"/>
    </row>
    <row r="1104" spans="1:20" ht="17.25" customHeight="1">
      <c r="A1104"/>
      <c r="B1104"/>
      <c r="P1104"/>
      <c r="R1104"/>
      <c r="S1104"/>
      <c r="T1104"/>
    </row>
    <row r="1105" spans="1:20" ht="17.25" customHeight="1">
      <c r="A1105"/>
      <c r="B1105"/>
      <c r="P1105"/>
      <c r="R1105"/>
      <c r="S1105"/>
      <c r="T1105"/>
    </row>
    <row r="1106" spans="1:20" ht="17.25" customHeight="1">
      <c r="A1106"/>
      <c r="B1106"/>
      <c r="P1106"/>
      <c r="R1106"/>
      <c r="S1106"/>
      <c r="T1106"/>
    </row>
    <row r="1107" spans="1:20" ht="17.25" customHeight="1">
      <c r="A1107"/>
      <c r="B1107"/>
      <c r="P1107"/>
      <c r="R1107"/>
      <c r="S1107"/>
      <c r="T1107"/>
    </row>
    <row r="1108" spans="1:20" ht="17.25" customHeight="1">
      <c r="A1108"/>
      <c r="B1108"/>
      <c r="P1108"/>
      <c r="R1108"/>
      <c r="S1108"/>
      <c r="T1108"/>
    </row>
    <row r="1109" spans="1:20" ht="17.25" customHeight="1">
      <c r="A1109"/>
      <c r="B1109"/>
      <c r="P1109"/>
      <c r="R1109"/>
      <c r="S1109"/>
      <c r="T1109"/>
    </row>
    <row r="1110" spans="1:20" ht="17.25" customHeight="1">
      <c r="A1110"/>
      <c r="B1110"/>
      <c r="P1110"/>
      <c r="R1110"/>
      <c r="S1110"/>
      <c r="T1110"/>
    </row>
    <row r="1111" spans="1:20" ht="17.25" customHeight="1">
      <c r="A1111"/>
      <c r="B1111"/>
      <c r="P1111"/>
      <c r="R1111"/>
      <c r="S1111"/>
      <c r="T1111"/>
    </row>
    <row r="1112" spans="1:20" ht="17.25" customHeight="1">
      <c r="A1112"/>
      <c r="B1112"/>
      <c r="P1112"/>
      <c r="R1112"/>
      <c r="S1112"/>
      <c r="T1112"/>
    </row>
    <row r="1113" spans="1:20" ht="17.25" customHeight="1">
      <c r="A1113"/>
      <c r="B1113"/>
      <c r="P1113"/>
      <c r="R1113"/>
      <c r="S1113"/>
      <c r="T1113"/>
    </row>
    <row r="1114" spans="1:20" ht="17.25" customHeight="1">
      <c r="A1114"/>
      <c r="B1114"/>
      <c r="P1114"/>
      <c r="R1114"/>
      <c r="S1114"/>
      <c r="T1114"/>
    </row>
    <row r="1115" spans="1:20" ht="17.25" customHeight="1">
      <c r="A1115"/>
      <c r="B1115"/>
      <c r="P1115"/>
      <c r="R1115"/>
      <c r="S1115"/>
      <c r="T1115"/>
    </row>
    <row r="1116" spans="1:20" ht="17.25" customHeight="1">
      <c r="A1116"/>
      <c r="B1116"/>
      <c r="P1116"/>
      <c r="R1116"/>
      <c r="S1116"/>
      <c r="T1116"/>
    </row>
    <row r="1117" spans="1:20" ht="17.25" customHeight="1">
      <c r="A1117"/>
      <c r="B1117"/>
      <c r="P1117"/>
      <c r="R1117"/>
      <c r="S1117"/>
      <c r="T1117"/>
    </row>
    <row r="1118" spans="1:20" ht="17.25" customHeight="1">
      <c r="A1118"/>
      <c r="B1118"/>
      <c r="P1118"/>
      <c r="R1118"/>
      <c r="S1118"/>
      <c r="T1118"/>
    </row>
    <row r="1119" spans="1:20" ht="17.25" customHeight="1">
      <c r="A1119"/>
      <c r="B1119"/>
      <c r="P1119"/>
      <c r="R1119"/>
      <c r="S1119"/>
      <c r="T1119"/>
    </row>
    <row r="1120" spans="1:20" ht="17.25" customHeight="1">
      <c r="A1120"/>
      <c r="B1120"/>
      <c r="P1120"/>
      <c r="R1120"/>
      <c r="S1120"/>
      <c r="T1120"/>
    </row>
    <row r="1121" spans="1:20" ht="17.25" customHeight="1">
      <c r="A1121"/>
      <c r="B1121"/>
      <c r="P1121"/>
      <c r="R1121"/>
      <c r="S1121"/>
      <c r="T1121"/>
    </row>
    <row r="1122" spans="1:20" ht="17.25" customHeight="1">
      <c r="A1122"/>
      <c r="B1122"/>
      <c r="P1122"/>
      <c r="R1122"/>
      <c r="S1122"/>
      <c r="T1122"/>
    </row>
    <row r="1123" spans="1:20" ht="17.25" customHeight="1">
      <c r="A1123"/>
      <c r="B1123"/>
      <c r="P1123"/>
      <c r="R1123"/>
      <c r="S1123"/>
      <c r="T1123"/>
    </row>
    <row r="1124" spans="1:20" ht="17.25" customHeight="1">
      <c r="A1124"/>
      <c r="B1124"/>
      <c r="P1124"/>
      <c r="R1124"/>
      <c r="S1124"/>
      <c r="T1124"/>
    </row>
    <row r="1125" spans="1:20" ht="17.25" customHeight="1">
      <c r="A1125"/>
      <c r="B1125"/>
      <c r="P1125"/>
      <c r="R1125"/>
      <c r="S1125"/>
      <c r="T1125"/>
    </row>
    <row r="1126" spans="1:20" ht="17.25" customHeight="1">
      <c r="A1126"/>
      <c r="B1126"/>
      <c r="P1126"/>
      <c r="R1126"/>
      <c r="S1126"/>
      <c r="T1126"/>
    </row>
    <row r="1127" spans="1:20" ht="17.25" customHeight="1">
      <c r="A1127"/>
      <c r="B1127"/>
      <c r="P1127"/>
      <c r="R1127"/>
      <c r="S1127"/>
      <c r="T1127"/>
    </row>
    <row r="1128" spans="1:20" ht="17.25" customHeight="1">
      <c r="A1128"/>
      <c r="B1128"/>
      <c r="P1128"/>
      <c r="R1128"/>
      <c r="S1128"/>
      <c r="T1128"/>
    </row>
    <row r="1129" spans="1:20" ht="17.25" customHeight="1">
      <c r="A1129"/>
      <c r="B1129"/>
      <c r="P1129"/>
      <c r="R1129"/>
      <c r="S1129"/>
      <c r="T1129"/>
    </row>
    <row r="1130" spans="1:20" ht="17.25" customHeight="1">
      <c r="A1130"/>
      <c r="B1130"/>
      <c r="P1130"/>
      <c r="R1130"/>
      <c r="S1130"/>
      <c r="T1130"/>
    </row>
    <row r="1131" spans="1:20" ht="17.25" customHeight="1">
      <c r="A1131"/>
      <c r="B1131"/>
      <c r="P1131"/>
      <c r="R1131"/>
      <c r="S1131"/>
      <c r="T1131"/>
    </row>
    <row r="1132" spans="1:20" ht="17.25" customHeight="1">
      <c r="A1132"/>
      <c r="B1132"/>
      <c r="P1132"/>
      <c r="R1132"/>
      <c r="S1132"/>
      <c r="T1132"/>
    </row>
    <row r="1133" spans="1:20" ht="17.25" customHeight="1">
      <c r="A1133"/>
      <c r="B1133"/>
      <c r="P1133"/>
      <c r="R1133"/>
      <c r="S1133"/>
      <c r="T1133"/>
    </row>
    <row r="1134" spans="1:20" ht="17.25" customHeight="1">
      <c r="A1134"/>
      <c r="B1134"/>
      <c r="P1134"/>
      <c r="R1134"/>
      <c r="S1134"/>
      <c r="T1134"/>
    </row>
    <row r="1135" spans="1:20" ht="17.25" customHeight="1">
      <c r="A1135"/>
      <c r="B1135"/>
      <c r="P1135"/>
      <c r="R1135"/>
      <c r="S1135"/>
      <c r="T1135"/>
    </row>
    <row r="1136" spans="1:20" ht="17.25" customHeight="1">
      <c r="A1136"/>
      <c r="B1136"/>
      <c r="P1136"/>
      <c r="R1136"/>
      <c r="S1136"/>
      <c r="T1136"/>
    </row>
    <row r="1137" spans="1:20" ht="17.25" customHeight="1">
      <c r="A1137"/>
      <c r="B1137"/>
      <c r="P1137"/>
      <c r="R1137"/>
      <c r="S1137"/>
      <c r="T1137"/>
    </row>
    <row r="1138" spans="1:20" ht="17.25" customHeight="1">
      <c r="A1138"/>
      <c r="B1138"/>
      <c r="P1138"/>
      <c r="R1138"/>
      <c r="S1138"/>
      <c r="T1138"/>
    </row>
    <row r="1139" spans="1:20" ht="17.25" customHeight="1">
      <c r="A1139"/>
      <c r="B1139"/>
      <c r="P1139"/>
      <c r="R1139"/>
      <c r="S1139"/>
      <c r="T1139"/>
    </row>
    <row r="1140" spans="1:20" ht="17.25" customHeight="1">
      <c r="A1140"/>
      <c r="B1140"/>
      <c r="P1140"/>
      <c r="R1140"/>
      <c r="S1140"/>
      <c r="T1140"/>
    </row>
    <row r="1141" spans="1:20" ht="17.25" customHeight="1">
      <c r="A1141"/>
      <c r="B1141"/>
      <c r="P1141"/>
      <c r="R1141"/>
      <c r="S1141"/>
      <c r="T1141"/>
    </row>
    <row r="1142" spans="1:20" ht="17.25" customHeight="1">
      <c r="A1142"/>
      <c r="B1142"/>
      <c r="P1142"/>
      <c r="R1142"/>
      <c r="S1142"/>
      <c r="T1142"/>
    </row>
    <row r="1143" spans="1:20" ht="17.25" customHeight="1">
      <c r="A1143"/>
      <c r="B1143"/>
      <c r="P1143"/>
      <c r="R1143"/>
      <c r="S1143"/>
      <c r="T1143"/>
    </row>
    <row r="1144" spans="1:20" ht="17.25" customHeight="1">
      <c r="A1144"/>
      <c r="B1144"/>
      <c r="P1144"/>
      <c r="R1144"/>
      <c r="S1144"/>
      <c r="T1144"/>
    </row>
    <row r="1145" spans="1:20" ht="17.25" customHeight="1">
      <c r="A1145"/>
      <c r="B1145"/>
      <c r="P1145"/>
      <c r="R1145"/>
      <c r="S1145"/>
      <c r="T1145"/>
    </row>
    <row r="1146" spans="1:20" ht="17.25" customHeight="1">
      <c r="A1146"/>
      <c r="B1146"/>
      <c r="P1146"/>
      <c r="R1146"/>
      <c r="S1146"/>
      <c r="T1146"/>
    </row>
    <row r="1147" spans="1:20" ht="17.25" customHeight="1">
      <c r="A1147"/>
      <c r="B1147"/>
      <c r="P1147"/>
      <c r="R1147"/>
      <c r="S1147"/>
      <c r="T1147"/>
    </row>
    <row r="1148" spans="1:20" ht="17.25" customHeight="1">
      <c r="A1148"/>
      <c r="B1148"/>
      <c r="P1148"/>
      <c r="R1148"/>
      <c r="S1148"/>
      <c r="T1148"/>
    </row>
    <row r="1149" spans="1:20" ht="17.25" customHeight="1">
      <c r="A1149"/>
      <c r="B1149"/>
      <c r="P1149"/>
      <c r="R1149"/>
      <c r="S1149"/>
      <c r="T1149"/>
    </row>
    <row r="1150" spans="1:20" ht="17.25" customHeight="1">
      <c r="A1150"/>
      <c r="B1150"/>
      <c r="P1150"/>
      <c r="R1150"/>
      <c r="S1150"/>
      <c r="T1150"/>
    </row>
    <row r="1151" spans="1:20" ht="17.25" customHeight="1">
      <c r="A1151"/>
      <c r="B1151"/>
      <c r="P1151"/>
      <c r="R1151"/>
      <c r="S1151"/>
      <c r="T1151"/>
    </row>
    <row r="1152" spans="1:20" ht="17.25" customHeight="1">
      <c r="A1152"/>
      <c r="B1152"/>
      <c r="P1152"/>
      <c r="R1152"/>
      <c r="S1152"/>
      <c r="T1152"/>
    </row>
    <row r="1153" spans="1:20" ht="17.25" customHeight="1">
      <c r="A1153"/>
      <c r="B1153"/>
      <c r="P1153"/>
      <c r="R1153"/>
      <c r="S1153"/>
      <c r="T1153"/>
    </row>
    <row r="1154" spans="1:20" ht="17.25" customHeight="1">
      <c r="A1154"/>
      <c r="B1154"/>
      <c r="P1154"/>
      <c r="R1154"/>
      <c r="S1154"/>
      <c r="T1154"/>
    </row>
    <row r="1155" spans="1:20" ht="17.25" customHeight="1">
      <c r="A1155"/>
      <c r="B1155"/>
      <c r="P1155"/>
      <c r="R1155"/>
      <c r="S1155"/>
      <c r="T1155"/>
    </row>
    <row r="1156" spans="1:20" ht="17.25" customHeight="1">
      <c r="A1156"/>
      <c r="B1156"/>
      <c r="P1156"/>
      <c r="R1156"/>
      <c r="S1156"/>
      <c r="T1156"/>
    </row>
    <row r="1157" spans="1:20" ht="17.25" customHeight="1">
      <c r="A1157"/>
      <c r="B1157"/>
      <c r="P1157"/>
      <c r="R1157"/>
      <c r="S1157"/>
      <c r="T1157"/>
    </row>
    <row r="1158" spans="1:20" ht="17.25" customHeight="1">
      <c r="A1158"/>
      <c r="B1158"/>
      <c r="P1158"/>
      <c r="R1158"/>
      <c r="S1158"/>
      <c r="T1158"/>
    </row>
    <row r="1159" spans="1:20" ht="17.25" customHeight="1">
      <c r="A1159"/>
      <c r="B1159"/>
      <c r="P1159"/>
      <c r="R1159"/>
      <c r="S1159"/>
      <c r="T1159"/>
    </row>
    <row r="1160" spans="1:20" ht="17.25" customHeight="1">
      <c r="A1160"/>
      <c r="B1160"/>
      <c r="P1160"/>
      <c r="R1160"/>
      <c r="S1160"/>
      <c r="T1160"/>
    </row>
    <row r="1161" spans="1:20" ht="17.25" customHeight="1">
      <c r="A1161"/>
      <c r="B1161"/>
      <c r="P1161"/>
      <c r="R1161"/>
      <c r="S1161"/>
      <c r="T1161"/>
    </row>
    <row r="1162" spans="1:20" ht="17.25" customHeight="1">
      <c r="A1162"/>
      <c r="B1162"/>
      <c r="P1162"/>
      <c r="R1162"/>
      <c r="S1162"/>
      <c r="T1162"/>
    </row>
    <row r="1163" spans="1:20" ht="17.25" customHeight="1">
      <c r="A1163"/>
      <c r="B1163"/>
      <c r="P1163"/>
      <c r="R1163"/>
      <c r="S1163"/>
      <c r="T1163"/>
    </row>
    <row r="1164" spans="1:20" ht="17.25" customHeight="1">
      <c r="A1164"/>
      <c r="B1164"/>
      <c r="P1164"/>
      <c r="R1164"/>
      <c r="S1164"/>
      <c r="T1164"/>
    </row>
    <row r="1165" spans="1:20" ht="17.25" customHeight="1">
      <c r="A1165"/>
      <c r="B1165"/>
      <c r="P1165"/>
      <c r="R1165"/>
      <c r="S1165"/>
      <c r="T1165"/>
    </row>
    <row r="1166" spans="1:20" ht="17.25" customHeight="1">
      <c r="A1166"/>
      <c r="B1166"/>
      <c r="P1166"/>
      <c r="R1166"/>
      <c r="S1166"/>
      <c r="T1166"/>
    </row>
    <row r="1167" spans="1:20" ht="17.25" customHeight="1">
      <c r="A1167"/>
      <c r="B1167"/>
      <c r="P1167"/>
      <c r="R1167"/>
      <c r="S1167"/>
      <c r="T1167"/>
    </row>
    <row r="1168" spans="1:20" ht="17.25" customHeight="1">
      <c r="A1168"/>
      <c r="B1168"/>
      <c r="P1168"/>
      <c r="R1168"/>
      <c r="S1168"/>
      <c r="T1168"/>
    </row>
    <row r="1169" spans="1:20" ht="17.25" customHeight="1">
      <c r="A1169"/>
      <c r="B1169"/>
      <c r="P1169"/>
      <c r="R1169"/>
      <c r="S1169"/>
      <c r="T1169"/>
    </row>
    <row r="1170" spans="1:20" ht="17.25" customHeight="1">
      <c r="A1170"/>
      <c r="B1170"/>
      <c r="P1170"/>
      <c r="R1170"/>
      <c r="S1170"/>
      <c r="T1170"/>
    </row>
    <row r="1171" spans="1:20" ht="17.25" customHeight="1">
      <c r="A1171"/>
      <c r="B1171"/>
      <c r="P1171"/>
      <c r="R1171"/>
      <c r="S1171"/>
      <c r="T1171"/>
    </row>
    <row r="1172" spans="1:20" ht="17.25" customHeight="1">
      <c r="A1172"/>
      <c r="B1172"/>
      <c r="P1172"/>
      <c r="R1172"/>
      <c r="S1172"/>
      <c r="T1172"/>
    </row>
    <row r="1173" spans="1:20" ht="17.25" customHeight="1">
      <c r="A1173"/>
      <c r="B1173"/>
      <c r="P1173"/>
      <c r="R1173"/>
      <c r="S1173"/>
      <c r="T1173"/>
    </row>
    <row r="1174" spans="1:20" ht="17.25" customHeight="1">
      <c r="A1174"/>
      <c r="B1174"/>
      <c r="P1174"/>
      <c r="R1174"/>
      <c r="S1174"/>
      <c r="T1174"/>
    </row>
    <row r="1175" spans="1:20" ht="17.25" customHeight="1">
      <c r="A1175"/>
      <c r="B1175"/>
      <c r="P1175"/>
      <c r="R1175"/>
      <c r="S1175"/>
      <c r="T1175"/>
    </row>
    <row r="1176" spans="1:20" ht="17.25" customHeight="1">
      <c r="A1176"/>
      <c r="B1176"/>
      <c r="P1176"/>
      <c r="R1176"/>
      <c r="S1176"/>
      <c r="T1176"/>
    </row>
    <row r="1177" spans="1:20" ht="17.25" customHeight="1">
      <c r="A1177"/>
      <c r="B1177"/>
      <c r="P1177"/>
      <c r="R1177"/>
      <c r="S1177"/>
      <c r="T1177"/>
    </row>
    <row r="1178" spans="1:20" ht="17.25" customHeight="1">
      <c r="A1178"/>
      <c r="B1178"/>
      <c r="P1178"/>
      <c r="R1178"/>
      <c r="S1178"/>
      <c r="T1178"/>
    </row>
    <row r="1179" spans="1:20" ht="17.25" customHeight="1">
      <c r="A1179"/>
      <c r="B1179"/>
      <c r="P1179"/>
      <c r="R1179"/>
      <c r="S1179"/>
      <c r="T1179"/>
    </row>
    <row r="1180" spans="1:20" ht="17.25" customHeight="1">
      <c r="A1180"/>
      <c r="B1180"/>
      <c r="P1180"/>
      <c r="R1180"/>
      <c r="S1180"/>
      <c r="T1180"/>
    </row>
    <row r="1181" spans="1:20" ht="17.25" customHeight="1">
      <c r="A1181"/>
      <c r="B1181"/>
      <c r="P1181"/>
      <c r="R1181"/>
      <c r="S1181"/>
      <c r="T1181"/>
    </row>
    <row r="1182" spans="1:20" ht="17.25" customHeight="1">
      <c r="A1182"/>
      <c r="B1182"/>
      <c r="P1182"/>
      <c r="R1182"/>
      <c r="S1182"/>
      <c r="T1182"/>
    </row>
    <row r="1183" spans="1:20" ht="17.25" customHeight="1">
      <c r="A1183"/>
      <c r="B1183"/>
      <c r="P1183"/>
      <c r="R1183"/>
      <c r="S1183"/>
      <c r="T1183"/>
    </row>
    <row r="1184" spans="1:20" ht="17.25" customHeight="1">
      <c r="A1184"/>
      <c r="B1184"/>
      <c r="P1184"/>
      <c r="R1184"/>
      <c r="S1184"/>
      <c r="T1184"/>
    </row>
    <row r="1185" spans="1:20" ht="17.25" customHeight="1">
      <c r="A1185"/>
      <c r="B1185"/>
      <c r="P1185"/>
      <c r="R1185"/>
      <c r="S1185"/>
      <c r="T1185"/>
    </row>
    <row r="1186" spans="1:20" ht="17.25" customHeight="1">
      <c r="A1186"/>
      <c r="B1186"/>
      <c r="P1186"/>
      <c r="R1186"/>
      <c r="S1186"/>
      <c r="T1186"/>
    </row>
    <row r="1187" spans="1:20" ht="17.25" customHeight="1">
      <c r="A1187"/>
      <c r="B1187"/>
      <c r="P1187"/>
      <c r="R1187"/>
      <c r="S1187"/>
      <c r="T1187"/>
    </row>
    <row r="1188" spans="1:20" ht="17.25" customHeight="1">
      <c r="A1188"/>
      <c r="B1188"/>
      <c r="P1188"/>
      <c r="R1188"/>
      <c r="S1188"/>
      <c r="T1188"/>
    </row>
    <row r="1189" spans="1:20" ht="17.25" customHeight="1">
      <c r="A1189"/>
      <c r="B1189"/>
      <c r="P1189"/>
      <c r="R1189"/>
      <c r="S1189"/>
      <c r="T1189"/>
    </row>
    <row r="1190" spans="1:20" ht="17.25" customHeight="1">
      <c r="A1190"/>
      <c r="B1190"/>
      <c r="P1190"/>
      <c r="R1190"/>
      <c r="S1190"/>
      <c r="T1190"/>
    </row>
    <row r="1191" spans="1:20" ht="17.25" customHeight="1">
      <c r="A1191"/>
      <c r="B1191"/>
      <c r="P1191"/>
      <c r="R1191"/>
      <c r="S1191"/>
      <c r="T1191"/>
    </row>
    <row r="1192" spans="1:20" ht="17.25" customHeight="1">
      <c r="A1192"/>
      <c r="B1192"/>
      <c r="P1192"/>
      <c r="R1192"/>
      <c r="S1192"/>
      <c r="T1192"/>
    </row>
    <row r="1193" spans="1:20" ht="17.25" customHeight="1">
      <c r="A1193"/>
      <c r="B1193"/>
      <c r="P1193"/>
      <c r="R1193"/>
      <c r="S1193"/>
      <c r="T1193"/>
    </row>
    <row r="1194" spans="1:20" ht="17.25" customHeight="1">
      <c r="A1194"/>
      <c r="B1194"/>
      <c r="P1194"/>
      <c r="R1194"/>
      <c r="S1194"/>
      <c r="T1194"/>
    </row>
    <row r="1195" spans="1:20" ht="17.25" customHeight="1">
      <c r="A1195"/>
      <c r="B1195"/>
      <c r="P1195"/>
      <c r="R1195"/>
      <c r="S1195"/>
      <c r="T1195"/>
    </row>
    <row r="1196" spans="1:20" ht="17.25" customHeight="1">
      <c r="A1196"/>
      <c r="B1196"/>
      <c r="P1196"/>
      <c r="R1196"/>
      <c r="S1196"/>
      <c r="T1196"/>
    </row>
    <row r="1197" spans="1:20" ht="17.25" customHeight="1">
      <c r="A1197"/>
      <c r="B1197"/>
      <c r="P1197"/>
      <c r="R1197"/>
      <c r="S1197"/>
      <c r="T1197"/>
    </row>
    <row r="1198" spans="1:20" ht="17.25" customHeight="1">
      <c r="A1198"/>
      <c r="B1198"/>
      <c r="P1198"/>
      <c r="R1198"/>
      <c r="S1198"/>
      <c r="T1198"/>
    </row>
    <row r="1199" spans="1:20" ht="17.25" customHeight="1">
      <c r="A1199"/>
      <c r="B1199"/>
      <c r="P1199"/>
      <c r="R1199"/>
      <c r="S1199"/>
      <c r="T1199"/>
    </row>
    <row r="1200" spans="1:20" ht="17.25" customHeight="1">
      <c r="A1200"/>
      <c r="B1200"/>
      <c r="P1200"/>
      <c r="R1200"/>
      <c r="S1200"/>
      <c r="T1200"/>
    </row>
    <row r="1201" spans="1:20" ht="17.25" customHeight="1">
      <c r="A1201"/>
      <c r="B1201"/>
      <c r="P1201"/>
      <c r="R1201"/>
      <c r="S1201"/>
      <c r="T1201"/>
    </row>
    <row r="1202" spans="1:20" ht="17.25" customHeight="1">
      <c r="A1202"/>
      <c r="B1202"/>
      <c r="P1202"/>
      <c r="R1202"/>
      <c r="S1202"/>
      <c r="T1202"/>
    </row>
    <row r="1203" spans="1:20" ht="17.25" customHeight="1">
      <c r="A1203"/>
      <c r="B1203"/>
      <c r="P1203"/>
      <c r="R1203"/>
      <c r="S1203"/>
      <c r="T1203"/>
    </row>
    <row r="1204" spans="1:20" ht="17.25" customHeight="1">
      <c r="A1204"/>
      <c r="B1204"/>
      <c r="P1204"/>
      <c r="R1204"/>
      <c r="S1204"/>
      <c r="T1204"/>
    </row>
    <row r="1205" spans="1:20" ht="17.25" customHeight="1">
      <c r="A1205"/>
      <c r="B1205"/>
      <c r="P1205"/>
      <c r="R1205"/>
      <c r="S1205"/>
      <c r="T1205"/>
    </row>
    <row r="1206" spans="1:20" ht="17.25" customHeight="1">
      <c r="A1206"/>
      <c r="B1206"/>
      <c r="P1206"/>
      <c r="R1206"/>
      <c r="S1206"/>
      <c r="T1206"/>
    </row>
    <row r="1207" spans="1:20" ht="17.25" customHeight="1">
      <c r="A1207"/>
      <c r="B1207"/>
      <c r="P1207"/>
      <c r="R1207"/>
      <c r="S1207"/>
      <c r="T1207"/>
    </row>
    <row r="1208" spans="1:20" ht="17.25" customHeight="1">
      <c r="A1208"/>
      <c r="B1208"/>
      <c r="P1208"/>
      <c r="R1208"/>
      <c r="S1208"/>
      <c r="T1208"/>
    </row>
    <row r="1209" spans="1:20" ht="17.25" customHeight="1">
      <c r="A1209"/>
      <c r="B1209"/>
      <c r="P1209"/>
      <c r="R1209"/>
      <c r="S1209"/>
      <c r="T1209"/>
    </row>
    <row r="1210" spans="1:20" ht="17.25" customHeight="1">
      <c r="A1210"/>
      <c r="B1210"/>
      <c r="P1210"/>
      <c r="R1210"/>
      <c r="S1210"/>
      <c r="T1210"/>
    </row>
    <row r="1211" spans="1:20" ht="17.25" customHeight="1">
      <c r="A1211"/>
      <c r="B1211"/>
      <c r="P1211"/>
      <c r="R1211"/>
      <c r="S1211"/>
      <c r="T1211"/>
    </row>
    <row r="1212" spans="1:20" ht="17.25" customHeight="1">
      <c r="A1212"/>
      <c r="B1212"/>
      <c r="P1212"/>
      <c r="R1212"/>
      <c r="S1212"/>
      <c r="T1212"/>
    </row>
    <row r="1213" spans="1:20" ht="17.25" customHeight="1">
      <c r="A1213"/>
      <c r="B1213"/>
      <c r="P1213"/>
      <c r="R1213"/>
      <c r="S1213"/>
      <c r="T1213"/>
    </row>
    <row r="1214" spans="1:20" ht="17.25" customHeight="1">
      <c r="A1214"/>
      <c r="B1214"/>
      <c r="P1214"/>
      <c r="R1214"/>
      <c r="S1214"/>
      <c r="T1214"/>
    </row>
    <row r="1215" spans="1:20" ht="17.25" customHeight="1">
      <c r="A1215"/>
      <c r="B1215"/>
      <c r="P1215"/>
      <c r="R1215"/>
      <c r="S1215"/>
      <c r="T1215"/>
    </row>
    <row r="1216" spans="1:20" ht="17.25" customHeight="1">
      <c r="A1216"/>
      <c r="B1216"/>
      <c r="P1216"/>
      <c r="R1216"/>
      <c r="S1216"/>
      <c r="T1216"/>
    </row>
    <row r="1217" spans="1:20" ht="17.25" customHeight="1">
      <c r="A1217"/>
      <c r="B1217"/>
      <c r="P1217"/>
      <c r="R1217"/>
      <c r="S1217"/>
      <c r="T1217"/>
    </row>
    <row r="1218" spans="1:20" ht="17.25" customHeight="1">
      <c r="A1218"/>
      <c r="B1218"/>
      <c r="P1218"/>
      <c r="R1218"/>
      <c r="S1218"/>
      <c r="T1218"/>
    </row>
    <row r="1219" spans="1:20" ht="17.25" customHeight="1">
      <c r="A1219"/>
      <c r="B1219"/>
      <c r="P1219"/>
      <c r="R1219"/>
      <c r="S1219"/>
      <c r="T1219"/>
    </row>
    <row r="1220" spans="1:20" ht="17.25" customHeight="1">
      <c r="A1220"/>
      <c r="B1220"/>
      <c r="P1220"/>
      <c r="R1220"/>
      <c r="S1220"/>
      <c r="T1220"/>
    </row>
    <row r="1221" spans="1:20" ht="17.25" customHeight="1">
      <c r="A1221"/>
      <c r="B1221"/>
      <c r="P1221"/>
      <c r="R1221"/>
      <c r="S1221"/>
      <c r="T1221"/>
    </row>
    <row r="1222" spans="1:20" ht="17.25" customHeight="1">
      <c r="A1222"/>
      <c r="B1222"/>
      <c r="P1222"/>
      <c r="R1222"/>
      <c r="S1222"/>
      <c r="T1222"/>
    </row>
    <row r="1223" spans="1:20" ht="17.25" customHeight="1">
      <c r="A1223"/>
      <c r="B1223"/>
      <c r="P1223"/>
      <c r="R1223"/>
      <c r="S1223"/>
      <c r="T1223"/>
    </row>
    <row r="1224" spans="1:20" ht="17.25" customHeight="1">
      <c r="A1224"/>
      <c r="B1224"/>
      <c r="P1224"/>
      <c r="R1224"/>
      <c r="S1224"/>
      <c r="T1224"/>
    </row>
    <row r="1225" spans="1:20" ht="17.25" customHeight="1">
      <c r="A1225"/>
      <c r="B1225"/>
      <c r="P1225"/>
      <c r="R1225"/>
      <c r="S1225"/>
      <c r="T1225"/>
    </row>
    <row r="1226" spans="1:20" ht="17.25" customHeight="1">
      <c r="A1226"/>
      <c r="B1226"/>
      <c r="P1226"/>
      <c r="R1226"/>
      <c r="S1226"/>
      <c r="T1226"/>
    </row>
    <row r="1227" spans="1:20" ht="17.25" customHeight="1">
      <c r="A1227"/>
      <c r="B1227"/>
      <c r="P1227"/>
      <c r="R1227"/>
      <c r="S1227"/>
      <c r="T1227"/>
    </row>
    <row r="1228" spans="1:20" ht="17.25" customHeight="1">
      <c r="A1228"/>
      <c r="B1228"/>
      <c r="P1228"/>
      <c r="R1228"/>
      <c r="S1228"/>
      <c r="T1228"/>
    </row>
    <row r="1229" spans="1:20" ht="17.25" customHeight="1">
      <c r="A1229"/>
      <c r="B1229"/>
      <c r="P1229"/>
      <c r="R1229"/>
      <c r="S1229"/>
      <c r="T1229"/>
    </row>
    <row r="1230" spans="1:20" ht="17.25" customHeight="1">
      <c r="A1230"/>
      <c r="B1230"/>
      <c r="P1230"/>
      <c r="R1230"/>
      <c r="S1230"/>
      <c r="T1230"/>
    </row>
    <row r="1231" spans="1:20" ht="17.25" customHeight="1">
      <c r="A1231"/>
      <c r="B1231"/>
      <c r="P1231"/>
      <c r="R1231"/>
      <c r="S1231"/>
      <c r="T1231"/>
    </row>
    <row r="1232" spans="1:20" ht="17.25" customHeight="1">
      <c r="A1232"/>
      <c r="B1232"/>
      <c r="P1232"/>
      <c r="R1232"/>
      <c r="S1232"/>
      <c r="T1232"/>
    </row>
    <row r="1233" spans="1:20" ht="17.25" customHeight="1">
      <c r="A1233"/>
      <c r="B1233"/>
      <c r="P1233"/>
      <c r="R1233"/>
      <c r="S1233"/>
      <c r="T1233"/>
    </row>
    <row r="1234" spans="1:20" ht="17.25" customHeight="1">
      <c r="A1234"/>
      <c r="B1234"/>
      <c r="P1234"/>
      <c r="R1234"/>
      <c r="S1234"/>
      <c r="T1234"/>
    </row>
    <row r="1235" spans="1:20" ht="17.25" customHeight="1">
      <c r="A1235"/>
      <c r="B1235"/>
      <c r="P1235"/>
      <c r="R1235"/>
      <c r="S1235"/>
      <c r="T1235"/>
    </row>
    <row r="1236" spans="1:20" ht="17.25" customHeight="1">
      <c r="A1236"/>
      <c r="B1236"/>
      <c r="P1236"/>
      <c r="R1236"/>
      <c r="S1236"/>
      <c r="T1236"/>
    </row>
    <row r="1237" spans="1:20" ht="17.25" customHeight="1">
      <c r="A1237"/>
      <c r="B1237"/>
      <c r="P1237"/>
      <c r="R1237"/>
      <c r="S1237"/>
      <c r="T1237"/>
    </row>
    <row r="1238" spans="1:20" ht="17.25" customHeight="1">
      <c r="A1238"/>
      <c r="B1238"/>
      <c r="P1238"/>
      <c r="R1238"/>
      <c r="S1238"/>
      <c r="T1238"/>
    </row>
    <row r="1239" spans="1:20" ht="17.25" customHeight="1">
      <c r="A1239"/>
      <c r="B1239"/>
      <c r="P1239"/>
      <c r="R1239"/>
      <c r="S1239"/>
      <c r="T1239"/>
    </row>
    <row r="1240" spans="1:20" ht="17.25" customHeight="1">
      <c r="A1240"/>
      <c r="B1240"/>
      <c r="P1240"/>
      <c r="R1240"/>
      <c r="S1240"/>
      <c r="T1240"/>
    </row>
    <row r="1241" spans="1:20" ht="17.25" customHeight="1">
      <c r="A1241"/>
      <c r="B1241"/>
      <c r="P1241"/>
      <c r="R1241"/>
      <c r="S1241"/>
      <c r="T1241"/>
    </row>
    <row r="1242" spans="1:20" ht="17.25" customHeight="1">
      <c r="A1242"/>
      <c r="B1242"/>
      <c r="P1242"/>
      <c r="R1242"/>
      <c r="S1242"/>
      <c r="T1242"/>
    </row>
    <row r="1243" spans="1:20" ht="17.25" customHeight="1">
      <c r="A1243"/>
      <c r="B1243"/>
      <c r="P1243"/>
      <c r="R1243"/>
      <c r="S1243"/>
      <c r="T1243"/>
    </row>
    <row r="1244" spans="1:20" ht="17.25" customHeight="1">
      <c r="A1244"/>
      <c r="B1244"/>
      <c r="P1244"/>
      <c r="R1244"/>
      <c r="S1244"/>
      <c r="T1244"/>
    </row>
    <row r="1245" spans="1:20" ht="17.25" customHeight="1">
      <c r="A1245"/>
      <c r="B1245"/>
      <c r="P1245"/>
      <c r="R1245"/>
      <c r="S1245"/>
      <c r="T1245"/>
    </row>
    <row r="1246" spans="1:20" ht="17.25" customHeight="1">
      <c r="A1246"/>
      <c r="B1246"/>
      <c r="P1246"/>
      <c r="R1246"/>
      <c r="S1246"/>
      <c r="T1246"/>
    </row>
    <row r="1247" spans="1:20" ht="17.25" customHeight="1">
      <c r="A1247"/>
      <c r="B1247"/>
      <c r="P1247"/>
      <c r="R1247"/>
      <c r="S1247"/>
      <c r="T1247"/>
    </row>
    <row r="1248" spans="1:20" ht="17.25" customHeight="1">
      <c r="A1248"/>
      <c r="B1248"/>
      <c r="P1248"/>
      <c r="R1248"/>
      <c r="S1248"/>
      <c r="T1248"/>
    </row>
    <row r="1249" spans="1:20" ht="17.25" customHeight="1">
      <c r="A1249"/>
      <c r="B1249"/>
      <c r="P1249"/>
      <c r="R1249"/>
      <c r="S1249"/>
      <c r="T1249"/>
    </row>
    <row r="1250" spans="1:20" ht="17.25" customHeight="1">
      <c r="A1250"/>
      <c r="B1250"/>
      <c r="P1250"/>
      <c r="R1250"/>
      <c r="S1250"/>
      <c r="T1250"/>
    </row>
    <row r="1251" spans="1:20" ht="17.25" customHeight="1">
      <c r="A1251"/>
      <c r="B1251"/>
      <c r="P1251"/>
      <c r="R1251"/>
      <c r="S1251"/>
      <c r="T1251"/>
    </row>
    <row r="1252" spans="1:20" ht="17.25" customHeight="1">
      <c r="A1252"/>
      <c r="B1252"/>
      <c r="P1252"/>
      <c r="R1252"/>
      <c r="S1252"/>
      <c r="T1252"/>
    </row>
    <row r="1253" spans="1:20" ht="17.25" customHeight="1">
      <c r="A1253"/>
      <c r="B1253"/>
      <c r="P1253"/>
      <c r="R1253"/>
      <c r="S1253"/>
      <c r="T1253"/>
    </row>
    <row r="1254" spans="1:20" ht="17.25" customHeight="1">
      <c r="A1254"/>
      <c r="B1254"/>
      <c r="P1254"/>
      <c r="R1254"/>
      <c r="S1254"/>
      <c r="T1254"/>
    </row>
    <row r="1255" spans="1:20" ht="17.25" customHeight="1">
      <c r="A1255"/>
      <c r="B1255"/>
      <c r="P1255"/>
      <c r="R1255"/>
      <c r="S1255"/>
      <c r="T1255"/>
    </row>
    <row r="1256" spans="1:20" ht="17.25" customHeight="1">
      <c r="A1256"/>
      <c r="B1256"/>
      <c r="P1256"/>
      <c r="R1256"/>
      <c r="S1256"/>
      <c r="T1256"/>
    </row>
    <row r="1257" spans="1:20" ht="17.25" customHeight="1">
      <c r="A1257"/>
      <c r="B1257"/>
      <c r="P1257"/>
      <c r="R1257"/>
      <c r="S1257"/>
      <c r="T1257"/>
    </row>
    <row r="1258" spans="1:20" ht="17.25" customHeight="1">
      <c r="A1258"/>
      <c r="B1258"/>
      <c r="P1258"/>
      <c r="R1258"/>
      <c r="S1258"/>
      <c r="T1258"/>
    </row>
    <row r="1259" spans="1:20" ht="17.25" customHeight="1">
      <c r="A1259"/>
      <c r="B1259"/>
      <c r="P1259"/>
      <c r="R1259"/>
      <c r="S1259"/>
      <c r="T1259"/>
    </row>
    <row r="1260" spans="1:20" ht="17.25" customHeight="1">
      <c r="A1260"/>
      <c r="B1260"/>
      <c r="P1260"/>
      <c r="R1260"/>
      <c r="S1260"/>
      <c r="T1260"/>
    </row>
    <row r="1261" spans="1:20" ht="17.25" customHeight="1">
      <c r="A1261"/>
      <c r="B1261"/>
      <c r="P1261"/>
      <c r="R1261"/>
      <c r="S1261"/>
      <c r="T1261"/>
    </row>
    <row r="1262" spans="1:20" ht="17.25" customHeight="1">
      <c r="A1262"/>
      <c r="B1262"/>
      <c r="P1262"/>
      <c r="R1262"/>
      <c r="S1262"/>
      <c r="T1262"/>
    </row>
    <row r="1263" spans="1:20" ht="17.25" customHeight="1">
      <c r="A1263"/>
      <c r="B1263"/>
      <c r="P1263"/>
      <c r="R1263"/>
      <c r="S1263"/>
      <c r="T1263"/>
    </row>
    <row r="1264" spans="1:20" ht="17.25" customHeight="1">
      <c r="A1264"/>
      <c r="B1264"/>
      <c r="P1264"/>
      <c r="R1264"/>
      <c r="S1264"/>
      <c r="T1264"/>
    </row>
    <row r="1265" spans="1:20" ht="17.25" customHeight="1">
      <c r="A1265"/>
      <c r="B1265"/>
      <c r="P1265"/>
      <c r="R1265"/>
      <c r="S1265"/>
      <c r="T1265"/>
    </row>
    <row r="1266" spans="1:20" ht="17.25" customHeight="1">
      <c r="A1266"/>
      <c r="B1266"/>
      <c r="P1266"/>
      <c r="R1266"/>
      <c r="S1266"/>
      <c r="T1266"/>
    </row>
    <row r="1267" spans="1:20" ht="17.25" customHeight="1">
      <c r="A1267"/>
      <c r="B1267"/>
      <c r="P1267"/>
      <c r="R1267"/>
      <c r="S1267"/>
      <c r="T1267"/>
    </row>
    <row r="1268" spans="1:20" ht="17.25" customHeight="1">
      <c r="A1268"/>
      <c r="B1268"/>
      <c r="P1268"/>
      <c r="R1268"/>
      <c r="S1268"/>
      <c r="T1268"/>
    </row>
    <row r="1269" spans="1:20" ht="17.25" customHeight="1">
      <c r="A1269"/>
      <c r="B1269"/>
      <c r="P1269"/>
      <c r="R1269"/>
      <c r="S1269"/>
      <c r="T1269"/>
    </row>
    <row r="1270" spans="1:20" ht="17.25" customHeight="1">
      <c r="A1270"/>
      <c r="B1270"/>
      <c r="P1270"/>
      <c r="R1270"/>
      <c r="S1270"/>
      <c r="T1270"/>
    </row>
    <row r="1271" spans="1:20" ht="17.25" customHeight="1">
      <c r="A1271"/>
      <c r="B1271"/>
      <c r="P1271"/>
      <c r="R1271"/>
      <c r="S1271"/>
      <c r="T1271"/>
    </row>
    <row r="1272" spans="1:20" ht="17.25" customHeight="1">
      <c r="A1272"/>
      <c r="B1272"/>
      <c r="P1272"/>
      <c r="R1272"/>
      <c r="S1272"/>
      <c r="T1272"/>
    </row>
    <row r="1273" spans="1:20" ht="17.25" customHeight="1">
      <c r="A1273"/>
      <c r="B1273"/>
      <c r="P1273"/>
      <c r="R1273"/>
      <c r="S1273"/>
      <c r="T1273"/>
    </row>
    <row r="1274" spans="1:20" ht="17.25" customHeight="1">
      <c r="A1274"/>
      <c r="B1274"/>
      <c r="P1274"/>
      <c r="R1274"/>
      <c r="S1274"/>
      <c r="T1274"/>
    </row>
    <row r="1275" spans="1:20" ht="17.25" customHeight="1">
      <c r="A1275"/>
      <c r="B1275"/>
      <c r="P1275"/>
      <c r="R1275"/>
      <c r="S1275"/>
      <c r="T1275"/>
    </row>
    <row r="1276" spans="1:20" ht="17.25" customHeight="1">
      <c r="A1276"/>
      <c r="B1276"/>
      <c r="P1276"/>
      <c r="R1276"/>
      <c r="S1276"/>
      <c r="T1276"/>
    </row>
    <row r="1277" spans="1:20" ht="17.25" customHeight="1">
      <c r="A1277"/>
      <c r="B1277"/>
      <c r="P1277"/>
      <c r="R1277"/>
      <c r="S1277"/>
      <c r="T1277"/>
    </row>
    <row r="1278" spans="1:20" ht="17.25" customHeight="1">
      <c r="A1278"/>
      <c r="B1278"/>
      <c r="P1278"/>
      <c r="R1278"/>
      <c r="S1278"/>
      <c r="T1278"/>
    </row>
    <row r="1279" spans="1:20" ht="17.25" customHeight="1">
      <c r="A1279"/>
      <c r="B1279"/>
      <c r="P1279"/>
      <c r="R1279"/>
      <c r="S1279"/>
      <c r="T1279"/>
    </row>
    <row r="1280" spans="1:20" ht="17.25" customHeight="1">
      <c r="A1280"/>
      <c r="B1280"/>
      <c r="P1280"/>
      <c r="R1280"/>
      <c r="S1280"/>
      <c r="T1280"/>
    </row>
    <row r="1281" spans="1:20" ht="17.25" customHeight="1">
      <c r="A1281"/>
      <c r="B1281"/>
      <c r="P1281"/>
      <c r="R1281"/>
      <c r="S1281"/>
      <c r="T1281"/>
    </row>
    <row r="1282" spans="1:20" ht="17.25" customHeight="1">
      <c r="A1282"/>
      <c r="B1282"/>
      <c r="P1282"/>
      <c r="R1282"/>
      <c r="S1282"/>
      <c r="T1282"/>
    </row>
    <row r="1283" spans="1:20" ht="17.25" customHeight="1">
      <c r="A1283"/>
      <c r="B1283"/>
      <c r="P1283"/>
      <c r="R1283"/>
      <c r="S1283"/>
      <c r="T1283"/>
    </row>
    <row r="1284" spans="1:20" ht="17.25" customHeight="1">
      <c r="A1284"/>
      <c r="B1284"/>
      <c r="P1284"/>
      <c r="R1284"/>
      <c r="S1284"/>
      <c r="T1284"/>
    </row>
    <row r="1285" spans="1:20" ht="17.25" customHeight="1">
      <c r="A1285"/>
      <c r="B1285"/>
      <c r="P1285"/>
      <c r="R1285"/>
      <c r="S1285"/>
      <c r="T1285"/>
    </row>
    <row r="1286" spans="1:20" ht="17.25" customHeight="1">
      <c r="A1286"/>
      <c r="B1286"/>
      <c r="P1286"/>
      <c r="R1286"/>
      <c r="S1286"/>
      <c r="T1286"/>
    </row>
    <row r="1287" spans="1:20" ht="17.25" customHeight="1">
      <c r="A1287"/>
      <c r="B1287"/>
      <c r="P1287"/>
      <c r="R1287"/>
      <c r="S1287"/>
      <c r="T1287"/>
    </row>
    <row r="1288" spans="1:20" ht="17.25" customHeight="1">
      <c r="A1288"/>
      <c r="B1288"/>
      <c r="P1288"/>
      <c r="R1288"/>
      <c r="S1288"/>
      <c r="T1288"/>
    </row>
    <row r="1289" spans="1:20" ht="17.25" customHeight="1">
      <c r="A1289"/>
      <c r="B1289"/>
      <c r="P1289"/>
      <c r="R1289"/>
      <c r="S1289"/>
      <c r="T1289"/>
    </row>
    <row r="1290" spans="1:20" ht="17.25" customHeight="1">
      <c r="A1290"/>
      <c r="B1290"/>
      <c r="P1290"/>
      <c r="R1290"/>
      <c r="S1290"/>
      <c r="T1290"/>
    </row>
    <row r="1291" spans="1:20" ht="17.25" customHeight="1">
      <c r="A1291"/>
      <c r="B1291"/>
      <c r="P1291"/>
      <c r="R1291"/>
      <c r="S1291"/>
      <c r="T1291"/>
    </row>
    <row r="1292" spans="1:20" ht="17.25" customHeight="1">
      <c r="A1292"/>
      <c r="B1292"/>
      <c r="P1292"/>
      <c r="R1292"/>
      <c r="S1292"/>
      <c r="T1292"/>
    </row>
    <row r="1293" spans="1:20" ht="17.25" customHeight="1">
      <c r="A1293"/>
      <c r="B1293"/>
      <c r="P1293"/>
      <c r="R1293"/>
      <c r="S1293"/>
      <c r="T1293"/>
    </row>
    <row r="1294" spans="1:20" ht="17.25" customHeight="1">
      <c r="A1294"/>
      <c r="B1294"/>
      <c r="P1294"/>
      <c r="R1294"/>
      <c r="S1294"/>
      <c r="T1294"/>
    </row>
    <row r="1295" spans="1:20" ht="17.25" customHeight="1">
      <c r="A1295"/>
      <c r="B1295"/>
      <c r="P1295"/>
      <c r="R1295"/>
      <c r="S1295"/>
      <c r="T1295"/>
    </row>
    <row r="1296" spans="1:20" ht="17.25" customHeight="1">
      <c r="A1296"/>
      <c r="B1296"/>
      <c r="P1296"/>
      <c r="R1296"/>
      <c r="S1296"/>
      <c r="T1296"/>
    </row>
    <row r="1297" spans="1:20" ht="17.25" customHeight="1">
      <c r="A1297"/>
      <c r="B1297"/>
      <c r="P1297"/>
      <c r="R1297"/>
      <c r="S1297"/>
      <c r="T1297"/>
    </row>
    <row r="1298" spans="1:20" ht="17.25" customHeight="1">
      <c r="A1298"/>
      <c r="B1298"/>
      <c r="P1298"/>
      <c r="R1298"/>
      <c r="S1298"/>
      <c r="T1298"/>
    </row>
    <row r="1299" spans="1:20" ht="17.25" customHeight="1">
      <c r="A1299"/>
      <c r="B1299"/>
      <c r="P1299"/>
      <c r="R1299"/>
      <c r="S1299"/>
      <c r="T1299"/>
    </row>
    <row r="1300" spans="1:20" ht="17.25" customHeight="1">
      <c r="A1300"/>
      <c r="B1300"/>
      <c r="P1300"/>
      <c r="R1300"/>
      <c r="S1300"/>
      <c r="T1300"/>
    </row>
    <row r="1301" spans="1:20" ht="17.25" customHeight="1">
      <c r="A1301"/>
      <c r="B1301"/>
      <c r="P1301"/>
      <c r="R1301"/>
      <c r="S1301"/>
      <c r="T1301"/>
    </row>
    <row r="1302" spans="1:20" ht="17.25" customHeight="1">
      <c r="A1302"/>
      <c r="B1302"/>
      <c r="P1302"/>
      <c r="R1302"/>
      <c r="S1302"/>
      <c r="T1302"/>
    </row>
    <row r="1303" spans="1:20" ht="17.25" customHeight="1">
      <c r="A1303"/>
      <c r="B1303"/>
      <c r="P1303"/>
      <c r="R1303"/>
      <c r="S1303"/>
      <c r="T1303"/>
    </row>
    <row r="1304" spans="1:20" ht="17.25" customHeight="1">
      <c r="A1304"/>
      <c r="B1304"/>
      <c r="P1304"/>
      <c r="R1304"/>
      <c r="S1304"/>
      <c r="T1304"/>
    </row>
    <row r="1305" spans="1:20" ht="17.25" customHeight="1">
      <c r="A1305"/>
      <c r="B1305"/>
      <c r="P1305"/>
      <c r="R1305"/>
      <c r="S1305"/>
      <c r="T1305"/>
    </row>
    <row r="1306" spans="1:20" ht="17.25" customHeight="1">
      <c r="A1306"/>
      <c r="B1306"/>
      <c r="P1306"/>
      <c r="R1306"/>
      <c r="S1306"/>
      <c r="T1306"/>
    </row>
    <row r="1307" spans="1:20" ht="17.25" customHeight="1">
      <c r="A1307"/>
      <c r="B1307"/>
      <c r="P1307"/>
      <c r="R1307"/>
      <c r="S1307"/>
      <c r="T1307"/>
    </row>
    <row r="1308" spans="1:20" ht="17.25" customHeight="1">
      <c r="A1308"/>
      <c r="B1308"/>
      <c r="P1308"/>
      <c r="R1308"/>
      <c r="S1308"/>
      <c r="T1308"/>
    </row>
    <row r="1309" spans="1:20" ht="17.25" customHeight="1">
      <c r="A1309"/>
      <c r="B1309"/>
      <c r="P1309"/>
      <c r="R1309"/>
      <c r="S1309"/>
      <c r="T1309"/>
    </row>
    <row r="1310" spans="1:20" ht="17.25" customHeight="1">
      <c r="A1310"/>
      <c r="B1310"/>
      <c r="P1310"/>
      <c r="R1310"/>
      <c r="S1310"/>
      <c r="T1310"/>
    </row>
    <row r="1311" spans="1:20" ht="17.25" customHeight="1">
      <c r="A1311"/>
      <c r="B1311"/>
      <c r="P1311"/>
      <c r="R1311"/>
      <c r="S1311"/>
      <c r="T1311"/>
    </row>
    <row r="1312" spans="1:20" ht="17.25" customHeight="1">
      <c r="A1312"/>
      <c r="B1312"/>
      <c r="P1312"/>
      <c r="R1312"/>
      <c r="S1312"/>
      <c r="T1312"/>
    </row>
    <row r="1313" spans="1:20" ht="17.25" customHeight="1">
      <c r="A1313"/>
      <c r="B1313"/>
      <c r="P1313"/>
      <c r="R1313"/>
      <c r="S1313"/>
      <c r="T1313"/>
    </row>
    <row r="1314" spans="1:20" ht="17.25" customHeight="1">
      <c r="A1314"/>
      <c r="B1314"/>
      <c r="P1314"/>
      <c r="R1314"/>
      <c r="S1314"/>
      <c r="T1314"/>
    </row>
    <row r="1315" spans="1:20" ht="17.25" customHeight="1">
      <c r="A1315"/>
      <c r="B1315"/>
      <c r="P1315"/>
      <c r="R1315"/>
      <c r="S1315"/>
      <c r="T1315"/>
    </row>
    <row r="1316" spans="1:20" ht="17.25" customHeight="1">
      <c r="A1316"/>
      <c r="B1316"/>
      <c r="P1316"/>
      <c r="R1316"/>
      <c r="S1316"/>
      <c r="T1316"/>
    </row>
    <row r="1317" spans="1:20" ht="17.25" customHeight="1">
      <c r="A1317"/>
      <c r="B1317"/>
      <c r="P1317"/>
      <c r="R1317"/>
      <c r="S1317"/>
      <c r="T1317"/>
    </row>
    <row r="1318" spans="1:20" ht="17.25" customHeight="1">
      <c r="A1318"/>
      <c r="B1318"/>
      <c r="P1318"/>
      <c r="R1318"/>
      <c r="S1318"/>
      <c r="T1318"/>
    </row>
    <row r="1319" spans="1:20" ht="17.25" customHeight="1">
      <c r="A1319"/>
      <c r="B1319"/>
      <c r="P1319"/>
      <c r="R1319"/>
      <c r="S1319"/>
      <c r="T1319"/>
    </row>
    <row r="1320" spans="1:20" ht="17.25" customHeight="1">
      <c r="A1320"/>
      <c r="B1320"/>
      <c r="P1320"/>
      <c r="R1320"/>
      <c r="S1320"/>
      <c r="T1320"/>
    </row>
    <row r="1321" spans="1:20" ht="17.25" customHeight="1">
      <c r="A1321"/>
      <c r="B1321"/>
      <c r="P1321"/>
      <c r="R1321"/>
      <c r="S1321"/>
      <c r="T1321"/>
    </row>
    <row r="1322" spans="1:20" ht="17.25" customHeight="1">
      <c r="A1322"/>
      <c r="B1322"/>
      <c r="P1322"/>
      <c r="R1322"/>
      <c r="S1322"/>
      <c r="T1322"/>
    </row>
    <row r="1323" spans="1:20" ht="17.25" customHeight="1">
      <c r="A1323"/>
      <c r="B1323"/>
      <c r="P1323"/>
      <c r="R1323"/>
      <c r="S1323"/>
      <c r="T1323"/>
    </row>
    <row r="1324" spans="1:20" ht="17.25" customHeight="1">
      <c r="A1324"/>
      <c r="B1324"/>
      <c r="P1324"/>
      <c r="R1324"/>
      <c r="S1324"/>
      <c r="T1324"/>
    </row>
    <row r="1325" spans="1:20" ht="17.25" customHeight="1">
      <c r="A1325"/>
      <c r="B1325"/>
      <c r="P1325"/>
      <c r="R1325"/>
      <c r="S1325"/>
      <c r="T1325"/>
    </row>
    <row r="1326" spans="1:20" ht="17.25" customHeight="1">
      <c r="A1326"/>
      <c r="B1326"/>
      <c r="P1326"/>
      <c r="R1326"/>
      <c r="S1326"/>
      <c r="T1326"/>
    </row>
    <row r="1327" spans="1:20" ht="17.25" customHeight="1">
      <c r="A1327"/>
      <c r="B1327"/>
      <c r="P1327"/>
      <c r="R1327"/>
      <c r="S1327"/>
      <c r="T1327"/>
    </row>
    <row r="1328" spans="1:20" ht="17.25" customHeight="1">
      <c r="A1328"/>
      <c r="B1328"/>
      <c r="P1328"/>
      <c r="R1328"/>
      <c r="S1328"/>
      <c r="T1328"/>
    </row>
    <row r="1329" spans="1:20" ht="17.25" customHeight="1">
      <c r="A1329"/>
      <c r="B1329"/>
      <c r="P1329"/>
      <c r="R1329"/>
      <c r="S1329"/>
      <c r="T1329"/>
    </row>
    <row r="1330" spans="1:20" ht="17.25" customHeight="1">
      <c r="A1330"/>
      <c r="B1330"/>
      <c r="P1330"/>
      <c r="R1330"/>
      <c r="S1330"/>
      <c r="T1330"/>
    </row>
    <row r="1331" spans="1:20" ht="17.25" customHeight="1">
      <c r="A1331"/>
      <c r="B1331"/>
      <c r="P1331"/>
      <c r="R1331"/>
      <c r="S1331"/>
      <c r="T1331"/>
    </row>
    <row r="1332" spans="1:20" ht="17.25" customHeight="1">
      <c r="A1332"/>
      <c r="B1332"/>
      <c r="P1332"/>
      <c r="R1332"/>
      <c r="S1332"/>
      <c r="T1332"/>
    </row>
    <row r="1333" spans="1:20" ht="17.25" customHeight="1">
      <c r="A1333"/>
      <c r="B1333"/>
      <c r="P1333"/>
      <c r="R1333"/>
      <c r="S1333"/>
      <c r="T1333"/>
    </row>
    <row r="1334" spans="1:20" ht="17.25" customHeight="1">
      <c r="A1334"/>
      <c r="B1334"/>
      <c r="P1334"/>
      <c r="R1334"/>
      <c r="S1334"/>
      <c r="T1334"/>
    </row>
    <row r="1335" spans="1:20" ht="17.25" customHeight="1">
      <c r="A1335"/>
      <c r="B1335"/>
      <c r="P1335"/>
      <c r="R1335"/>
      <c r="S1335"/>
      <c r="T1335"/>
    </row>
    <row r="1336" spans="1:20" ht="17.25" customHeight="1">
      <c r="A1336"/>
      <c r="B1336"/>
      <c r="P1336"/>
      <c r="R1336"/>
      <c r="S1336"/>
      <c r="T1336"/>
    </row>
    <row r="1337" spans="1:20" ht="17.25" customHeight="1">
      <c r="A1337"/>
      <c r="B1337"/>
      <c r="P1337"/>
      <c r="R1337"/>
      <c r="S1337"/>
      <c r="T1337"/>
    </row>
    <row r="1338" spans="1:20" ht="17.25" customHeight="1">
      <c r="A1338"/>
      <c r="B1338"/>
      <c r="P1338"/>
      <c r="R1338"/>
      <c r="S1338"/>
      <c r="T1338"/>
    </row>
    <row r="1339" spans="1:20" ht="17.25" customHeight="1">
      <c r="A1339"/>
      <c r="B1339"/>
      <c r="P1339"/>
      <c r="R1339"/>
      <c r="S1339"/>
      <c r="T1339"/>
    </row>
    <row r="1340" spans="1:20" ht="17.25" customHeight="1">
      <c r="A1340"/>
      <c r="B1340"/>
      <c r="P1340"/>
      <c r="R1340"/>
      <c r="S1340"/>
      <c r="T1340"/>
    </row>
    <row r="1341" spans="1:20" ht="17.25" customHeight="1">
      <c r="A1341"/>
      <c r="B1341"/>
      <c r="P1341"/>
      <c r="R1341"/>
      <c r="S1341"/>
      <c r="T1341"/>
    </row>
    <row r="1342" spans="1:20" ht="17.25" customHeight="1">
      <c r="A1342"/>
      <c r="B1342"/>
      <c r="P1342"/>
      <c r="R1342"/>
      <c r="S1342"/>
      <c r="T1342"/>
    </row>
    <row r="1343" spans="1:20" ht="17.25" customHeight="1">
      <c r="A1343"/>
      <c r="B1343"/>
      <c r="P1343"/>
      <c r="R1343"/>
      <c r="S1343"/>
      <c r="T1343"/>
    </row>
    <row r="1344" spans="1:20" ht="17.25" customHeight="1">
      <c r="A1344"/>
      <c r="B1344"/>
      <c r="P1344"/>
      <c r="R1344"/>
      <c r="S1344"/>
      <c r="T1344"/>
    </row>
    <row r="1345" spans="1:20" ht="17.25" customHeight="1">
      <c r="A1345"/>
      <c r="B1345"/>
      <c r="P1345"/>
      <c r="R1345"/>
      <c r="S1345"/>
      <c r="T1345"/>
    </row>
    <row r="1346" spans="1:20" ht="17.25" customHeight="1">
      <c r="A1346"/>
      <c r="B1346"/>
      <c r="P1346"/>
      <c r="R1346"/>
      <c r="S1346"/>
      <c r="T1346"/>
    </row>
    <row r="1347" spans="1:20" ht="17.25" customHeight="1">
      <c r="A1347"/>
      <c r="B1347"/>
      <c r="P1347"/>
      <c r="R1347"/>
      <c r="S1347"/>
      <c r="T1347"/>
    </row>
    <row r="1348" spans="1:20" ht="17.25" customHeight="1">
      <c r="A1348"/>
      <c r="B1348"/>
      <c r="P1348"/>
      <c r="R1348"/>
      <c r="S1348"/>
      <c r="T1348"/>
    </row>
    <row r="1349" spans="1:20" ht="17.25" customHeight="1">
      <c r="A1349"/>
      <c r="B1349"/>
      <c r="P1349"/>
      <c r="R1349"/>
      <c r="S1349"/>
      <c r="T1349"/>
    </row>
    <row r="1350" spans="1:20" ht="17.25" customHeight="1">
      <c r="A1350"/>
      <c r="B1350"/>
      <c r="P1350"/>
      <c r="R1350"/>
      <c r="S1350"/>
      <c r="T1350"/>
    </row>
    <row r="1351" spans="1:20" ht="17.25" customHeight="1">
      <c r="A1351"/>
      <c r="B1351"/>
      <c r="P1351"/>
      <c r="R1351"/>
      <c r="S1351"/>
      <c r="T1351"/>
    </row>
    <row r="1352" spans="1:20" ht="17.25" customHeight="1">
      <c r="A1352"/>
      <c r="B1352"/>
      <c r="P1352"/>
      <c r="R1352"/>
      <c r="S1352"/>
      <c r="T1352"/>
    </row>
    <row r="1353" spans="1:20" ht="17.25" customHeight="1">
      <c r="A1353"/>
      <c r="B1353"/>
      <c r="P1353"/>
      <c r="R1353"/>
      <c r="S1353"/>
      <c r="T1353"/>
    </row>
    <row r="1354" spans="1:20" ht="17.25" customHeight="1">
      <c r="A1354"/>
      <c r="B1354"/>
      <c r="P1354"/>
      <c r="R1354"/>
      <c r="S1354"/>
      <c r="T1354"/>
    </row>
    <row r="1355" spans="1:20" ht="17.25" customHeight="1">
      <c r="A1355"/>
      <c r="B1355"/>
      <c r="P1355"/>
      <c r="R1355"/>
      <c r="S1355"/>
      <c r="T1355"/>
    </row>
    <row r="1356" spans="1:20" ht="17.25" customHeight="1">
      <c r="A1356"/>
      <c r="B1356"/>
      <c r="P1356"/>
      <c r="R1356"/>
      <c r="S1356"/>
      <c r="T1356"/>
    </row>
    <row r="1357" spans="1:20" ht="17.25" customHeight="1">
      <c r="A1357"/>
      <c r="B1357"/>
      <c r="P1357"/>
      <c r="R1357"/>
      <c r="S1357"/>
      <c r="T1357"/>
    </row>
    <row r="1358" spans="1:20" ht="17.25" customHeight="1">
      <c r="A1358"/>
      <c r="B1358"/>
      <c r="P1358"/>
      <c r="R1358"/>
      <c r="S1358"/>
      <c r="T1358"/>
    </row>
    <row r="1359" spans="1:20" ht="17.25" customHeight="1">
      <c r="A1359"/>
      <c r="B1359"/>
      <c r="P1359"/>
      <c r="R1359"/>
      <c r="S1359"/>
      <c r="T1359"/>
    </row>
    <row r="1360" spans="1:20" ht="17.25" customHeight="1">
      <c r="A1360"/>
      <c r="B1360"/>
      <c r="P1360"/>
      <c r="R1360"/>
      <c r="S1360"/>
      <c r="T1360"/>
    </row>
    <row r="1361" spans="1:20" ht="17.25" customHeight="1">
      <c r="A1361"/>
      <c r="B1361"/>
      <c r="P1361"/>
      <c r="R1361"/>
      <c r="S1361"/>
      <c r="T1361"/>
    </row>
    <row r="1362" spans="1:20" ht="17.25" customHeight="1">
      <c r="A1362"/>
      <c r="B1362"/>
      <c r="P1362"/>
      <c r="R1362"/>
      <c r="S1362"/>
      <c r="T1362"/>
    </row>
    <row r="1363" spans="1:20" ht="17.25" customHeight="1">
      <c r="A1363"/>
      <c r="B1363"/>
      <c r="P1363"/>
      <c r="R1363"/>
      <c r="S1363"/>
      <c r="T1363"/>
    </row>
    <row r="1364" spans="1:20" ht="17.25" customHeight="1">
      <c r="A1364"/>
      <c r="B1364"/>
      <c r="P1364"/>
      <c r="R1364"/>
      <c r="S1364"/>
      <c r="T1364"/>
    </row>
    <row r="1365" spans="1:20" ht="17.25" customHeight="1">
      <c r="A1365"/>
      <c r="B1365"/>
      <c r="P1365"/>
      <c r="R1365"/>
      <c r="S1365"/>
      <c r="T1365"/>
    </row>
    <row r="1366" spans="1:20" ht="17.25" customHeight="1">
      <c r="A1366"/>
      <c r="B1366"/>
      <c r="P1366"/>
      <c r="R1366"/>
      <c r="S1366"/>
      <c r="T1366"/>
    </row>
    <row r="1367" spans="1:20" ht="17.25" customHeight="1">
      <c r="A1367"/>
      <c r="B1367"/>
      <c r="P1367"/>
      <c r="R1367"/>
      <c r="S1367"/>
      <c r="T1367"/>
    </row>
    <row r="1368" spans="1:20" ht="17.25" customHeight="1">
      <c r="A1368"/>
      <c r="B1368"/>
      <c r="P1368"/>
      <c r="R1368"/>
      <c r="S1368"/>
      <c r="T1368"/>
    </row>
    <row r="1369" spans="1:20" ht="17.25" customHeight="1">
      <c r="A1369"/>
      <c r="B1369"/>
      <c r="P1369"/>
      <c r="R1369"/>
      <c r="S1369"/>
      <c r="T1369"/>
    </row>
    <row r="1370" spans="1:20" ht="17.25" customHeight="1">
      <c r="A1370"/>
      <c r="B1370"/>
      <c r="P1370"/>
      <c r="R1370"/>
      <c r="S1370"/>
      <c r="T1370"/>
    </row>
    <row r="1371" spans="1:20" ht="17.25" customHeight="1">
      <c r="A1371"/>
      <c r="B1371"/>
      <c r="P1371"/>
      <c r="R1371"/>
      <c r="S1371"/>
      <c r="T1371"/>
    </row>
    <row r="1372" spans="1:20" ht="17.25" customHeight="1">
      <c r="A1372"/>
      <c r="B1372"/>
      <c r="P1372"/>
      <c r="R1372"/>
      <c r="S1372"/>
      <c r="T1372"/>
    </row>
    <row r="1373" spans="1:20" ht="17.25" customHeight="1">
      <c r="A1373"/>
      <c r="B1373"/>
      <c r="P1373"/>
      <c r="R1373"/>
      <c r="S1373"/>
      <c r="T1373"/>
    </row>
    <row r="1374" spans="1:20" ht="17.25" customHeight="1">
      <c r="A1374"/>
      <c r="B1374"/>
      <c r="P1374"/>
      <c r="R1374"/>
      <c r="S1374"/>
      <c r="T1374"/>
    </row>
    <row r="1375" spans="1:20" ht="17.25" customHeight="1">
      <c r="A1375"/>
      <c r="B1375"/>
      <c r="P1375"/>
      <c r="R1375"/>
      <c r="S1375"/>
      <c r="T1375"/>
    </row>
    <row r="1376" spans="1:20" ht="17.25" customHeight="1">
      <c r="A1376"/>
      <c r="B1376"/>
      <c r="P1376"/>
      <c r="R1376"/>
      <c r="S1376"/>
      <c r="T1376"/>
    </row>
    <row r="1377" spans="1:20" ht="17.25" customHeight="1">
      <c r="A1377"/>
      <c r="B1377"/>
      <c r="P1377"/>
      <c r="R1377"/>
      <c r="S1377"/>
      <c r="T1377"/>
    </row>
    <row r="1378" spans="1:20" ht="17.25" customHeight="1">
      <c r="A1378"/>
      <c r="B1378"/>
      <c r="P1378"/>
      <c r="R1378"/>
      <c r="S1378"/>
      <c r="T1378"/>
    </row>
    <row r="1379" spans="1:20" ht="17.25" customHeight="1">
      <c r="A1379"/>
      <c r="B1379"/>
      <c r="P1379"/>
      <c r="R1379"/>
      <c r="S1379"/>
      <c r="T1379"/>
    </row>
    <row r="1380" spans="1:20" ht="17.25" customHeight="1">
      <c r="A1380"/>
      <c r="B1380"/>
      <c r="P1380"/>
      <c r="R1380"/>
      <c r="S1380"/>
      <c r="T1380"/>
    </row>
    <row r="1381" spans="1:20" ht="17.25" customHeight="1">
      <c r="A1381"/>
      <c r="B1381"/>
      <c r="P1381"/>
      <c r="R1381"/>
      <c r="S1381"/>
      <c r="T1381"/>
    </row>
    <row r="1382" spans="1:20" ht="17.25" customHeight="1">
      <c r="A1382"/>
      <c r="B1382"/>
      <c r="P1382"/>
      <c r="R1382"/>
      <c r="S1382"/>
      <c r="T1382"/>
    </row>
    <row r="1383" spans="1:20" ht="17.25" customHeight="1">
      <c r="A1383"/>
      <c r="B1383"/>
      <c r="P1383"/>
      <c r="R1383"/>
      <c r="S1383"/>
      <c r="T1383"/>
    </row>
    <row r="1384" spans="1:20" ht="17.25" customHeight="1">
      <c r="A1384"/>
      <c r="B1384"/>
      <c r="P1384"/>
      <c r="R1384"/>
      <c r="S1384"/>
      <c r="T1384"/>
    </row>
    <row r="1385" spans="1:20" ht="17.25" customHeight="1">
      <c r="A1385"/>
      <c r="B1385"/>
      <c r="P1385"/>
      <c r="R1385"/>
      <c r="S1385"/>
      <c r="T1385"/>
    </row>
    <row r="1386" spans="1:20" ht="17.25" customHeight="1">
      <c r="A1386"/>
      <c r="B1386"/>
      <c r="P1386"/>
      <c r="R1386"/>
      <c r="S1386"/>
      <c r="T1386"/>
    </row>
    <row r="1387" spans="1:20" ht="17.25" customHeight="1">
      <c r="A1387"/>
      <c r="B1387"/>
      <c r="P1387"/>
      <c r="R1387"/>
      <c r="S1387"/>
      <c r="T1387"/>
    </row>
    <row r="1388" spans="1:20" ht="17.25" customHeight="1">
      <c r="A1388"/>
      <c r="B1388"/>
      <c r="P1388"/>
      <c r="R1388"/>
      <c r="S1388"/>
      <c r="T1388"/>
    </row>
    <row r="1389" spans="1:20" ht="17.25" customHeight="1">
      <c r="A1389"/>
      <c r="B1389"/>
      <c r="P1389"/>
      <c r="R1389"/>
      <c r="S1389"/>
      <c r="T1389"/>
    </row>
    <row r="1390" spans="1:20" ht="17.25" customHeight="1">
      <c r="A1390"/>
      <c r="B1390"/>
      <c r="P1390"/>
      <c r="R1390"/>
      <c r="S1390"/>
      <c r="T1390"/>
    </row>
    <row r="1391" spans="1:20" ht="17.25" customHeight="1">
      <c r="A1391"/>
      <c r="B1391"/>
      <c r="P1391"/>
      <c r="R1391"/>
      <c r="S1391"/>
      <c r="T1391"/>
    </row>
    <row r="1392" spans="1:20" ht="17.25" customHeight="1">
      <c r="A1392"/>
      <c r="B1392"/>
      <c r="P1392"/>
      <c r="R1392"/>
      <c r="S1392"/>
      <c r="T1392"/>
    </row>
    <row r="1393" spans="1:20" ht="17.25" customHeight="1">
      <c r="A1393"/>
      <c r="B1393"/>
      <c r="P1393"/>
      <c r="R1393"/>
      <c r="S1393"/>
      <c r="T1393"/>
    </row>
    <row r="1394" spans="1:20" ht="17.25" customHeight="1">
      <c r="A1394"/>
      <c r="B1394"/>
      <c r="P1394"/>
      <c r="R1394"/>
      <c r="S1394"/>
      <c r="T1394"/>
    </row>
    <row r="1395" spans="1:20" ht="17.25" customHeight="1">
      <c r="A1395"/>
      <c r="B1395"/>
      <c r="P1395"/>
      <c r="R1395"/>
      <c r="S1395"/>
      <c r="T1395"/>
    </row>
    <row r="1396" spans="1:20" ht="17.25" customHeight="1">
      <c r="A1396"/>
      <c r="B1396"/>
      <c r="P1396"/>
      <c r="R1396"/>
      <c r="S1396"/>
      <c r="T1396"/>
    </row>
    <row r="1397" spans="1:20" ht="17.25" customHeight="1">
      <c r="A1397"/>
      <c r="B1397"/>
      <c r="P1397"/>
      <c r="R1397"/>
      <c r="S1397"/>
      <c r="T1397"/>
    </row>
    <row r="1398" spans="1:20" ht="17.25" customHeight="1">
      <c r="A1398"/>
      <c r="B1398"/>
      <c r="P1398"/>
      <c r="R1398"/>
      <c r="S1398"/>
      <c r="T1398"/>
    </row>
    <row r="1399" spans="1:20" ht="17.25" customHeight="1">
      <c r="A1399"/>
      <c r="B1399"/>
      <c r="P1399"/>
      <c r="R1399"/>
      <c r="S1399"/>
      <c r="T1399"/>
    </row>
    <row r="1400" spans="1:20" ht="17.25" customHeight="1">
      <c r="A1400"/>
      <c r="B1400"/>
      <c r="P1400"/>
      <c r="R1400"/>
      <c r="S1400"/>
      <c r="T1400"/>
    </row>
    <row r="1401" spans="1:20" ht="17.25" customHeight="1">
      <c r="A1401"/>
      <c r="B1401"/>
      <c r="P1401"/>
      <c r="R1401"/>
      <c r="S1401"/>
      <c r="T1401"/>
    </row>
    <row r="1402" spans="1:20" ht="17.25" customHeight="1">
      <c r="A1402"/>
      <c r="B1402"/>
      <c r="P1402"/>
      <c r="R1402"/>
      <c r="S1402"/>
      <c r="T1402"/>
    </row>
    <row r="1403" spans="1:20" ht="17.25" customHeight="1">
      <c r="A1403"/>
      <c r="B1403"/>
      <c r="P1403"/>
      <c r="R1403"/>
      <c r="S1403"/>
      <c r="T1403"/>
    </row>
    <row r="1404" spans="1:20" ht="17.25" customHeight="1">
      <c r="A1404"/>
      <c r="B1404"/>
      <c r="P1404"/>
      <c r="R1404"/>
      <c r="S1404"/>
      <c r="T1404"/>
    </row>
    <row r="1405" spans="1:20" ht="17.25" customHeight="1">
      <c r="A1405"/>
      <c r="B1405"/>
      <c r="P1405"/>
      <c r="R1405"/>
      <c r="S1405"/>
      <c r="T1405"/>
    </row>
    <row r="1406" spans="1:20" ht="17.25" customHeight="1">
      <c r="A1406"/>
      <c r="B1406"/>
      <c r="P1406"/>
      <c r="R1406"/>
      <c r="S1406"/>
      <c r="T1406"/>
    </row>
    <row r="1407" spans="1:20" ht="17.25" customHeight="1">
      <c r="A1407"/>
      <c r="B1407"/>
      <c r="P1407"/>
      <c r="R1407"/>
      <c r="S1407"/>
      <c r="T1407"/>
    </row>
    <row r="1408" spans="1:20" ht="17.25" customHeight="1">
      <c r="A1408"/>
      <c r="B1408"/>
      <c r="P1408"/>
      <c r="R1408"/>
      <c r="S1408"/>
      <c r="T1408"/>
    </row>
    <row r="1409" spans="1:20" ht="17.25" customHeight="1">
      <c r="A1409"/>
      <c r="B1409"/>
      <c r="P1409"/>
      <c r="R1409"/>
      <c r="S1409"/>
      <c r="T1409"/>
    </row>
    <row r="1410" spans="1:20" ht="17.25" customHeight="1">
      <c r="A1410"/>
      <c r="B1410"/>
      <c r="P1410"/>
      <c r="R1410"/>
      <c r="S1410"/>
      <c r="T1410"/>
    </row>
    <row r="1411" spans="1:20" ht="17.25" customHeight="1">
      <c r="A1411"/>
      <c r="B1411"/>
      <c r="P1411"/>
      <c r="R1411"/>
      <c r="S1411"/>
      <c r="T1411"/>
    </row>
    <row r="1412" spans="1:20" ht="17.25" customHeight="1">
      <c r="A1412"/>
      <c r="B1412"/>
      <c r="P1412"/>
      <c r="R1412"/>
      <c r="S1412"/>
      <c r="T1412"/>
    </row>
    <row r="1413" spans="1:20" ht="17.25" customHeight="1">
      <c r="A1413"/>
      <c r="B1413"/>
      <c r="P1413"/>
      <c r="R1413"/>
      <c r="S1413"/>
      <c r="T1413"/>
    </row>
    <row r="1414" spans="1:20" ht="17.25" customHeight="1">
      <c r="A1414"/>
      <c r="B1414"/>
      <c r="P1414"/>
      <c r="R1414"/>
      <c r="S1414"/>
      <c r="T1414"/>
    </row>
    <row r="1415" spans="1:20" ht="17.25" customHeight="1">
      <c r="A1415"/>
      <c r="B1415"/>
      <c r="P1415"/>
      <c r="R1415"/>
      <c r="S1415"/>
      <c r="T1415"/>
    </row>
    <row r="1416" spans="1:20" ht="17.25" customHeight="1">
      <c r="A1416"/>
      <c r="B1416"/>
      <c r="P1416"/>
      <c r="R1416"/>
      <c r="S1416"/>
      <c r="T1416"/>
    </row>
    <row r="1417" spans="1:20" ht="17.25" customHeight="1">
      <c r="A1417"/>
      <c r="B1417"/>
      <c r="P1417"/>
      <c r="R1417"/>
      <c r="S1417"/>
      <c r="T1417"/>
    </row>
    <row r="1418" spans="1:20" ht="17.25" customHeight="1">
      <c r="A1418"/>
      <c r="B1418"/>
      <c r="P1418"/>
      <c r="R1418"/>
      <c r="S1418"/>
      <c r="T1418"/>
    </row>
    <row r="1419" spans="1:20" ht="17.25" customHeight="1">
      <c r="A1419"/>
      <c r="B1419"/>
      <c r="P1419"/>
      <c r="R1419"/>
      <c r="S1419"/>
      <c r="T1419"/>
    </row>
    <row r="1420" spans="1:20" ht="17.25" customHeight="1">
      <c r="A1420"/>
      <c r="B1420"/>
      <c r="P1420"/>
      <c r="R1420"/>
      <c r="S1420"/>
      <c r="T1420"/>
    </row>
    <row r="1421" spans="1:20" ht="17.25" customHeight="1">
      <c r="A1421"/>
      <c r="B1421"/>
      <c r="P1421"/>
      <c r="R1421"/>
      <c r="S1421"/>
      <c r="T1421"/>
    </row>
    <row r="1422" spans="1:20" ht="17.25" customHeight="1">
      <c r="A1422"/>
      <c r="B1422"/>
      <c r="P1422"/>
      <c r="R1422"/>
      <c r="S1422"/>
      <c r="T1422"/>
    </row>
    <row r="1423" spans="1:20" ht="17.25" customHeight="1">
      <c r="A1423"/>
      <c r="B1423"/>
      <c r="P1423"/>
      <c r="R1423"/>
      <c r="S1423"/>
      <c r="T1423"/>
    </row>
    <row r="1424" spans="1:20" ht="17.25" customHeight="1">
      <c r="A1424"/>
      <c r="B1424"/>
      <c r="P1424"/>
      <c r="R1424"/>
      <c r="S1424"/>
      <c r="T1424"/>
    </row>
    <row r="1425" spans="1:20" ht="17.25" customHeight="1">
      <c r="A1425"/>
      <c r="B1425"/>
      <c r="P1425"/>
      <c r="R1425"/>
      <c r="S1425"/>
      <c r="T1425"/>
    </row>
    <row r="1426" spans="1:20" ht="17.25" customHeight="1">
      <c r="A1426"/>
      <c r="B1426"/>
      <c r="P1426"/>
      <c r="R1426"/>
      <c r="S1426"/>
      <c r="T1426"/>
    </row>
    <row r="1427" spans="1:20" ht="17.25" customHeight="1">
      <c r="A1427"/>
      <c r="B1427"/>
      <c r="P1427"/>
      <c r="R1427"/>
      <c r="S1427"/>
      <c r="T1427"/>
    </row>
    <row r="1428" spans="1:20" ht="17.25" customHeight="1">
      <c r="A1428"/>
      <c r="B1428"/>
      <c r="P1428"/>
      <c r="R1428"/>
      <c r="S1428"/>
      <c r="T1428"/>
    </row>
    <row r="1429" spans="1:20" ht="17.25" customHeight="1">
      <c r="A1429"/>
      <c r="B1429"/>
      <c r="P1429"/>
      <c r="R1429"/>
      <c r="S1429"/>
      <c r="T1429"/>
    </row>
    <row r="1430" spans="1:20" ht="17.25" customHeight="1">
      <c r="A1430"/>
      <c r="B1430"/>
      <c r="P1430"/>
      <c r="R1430"/>
      <c r="S1430"/>
      <c r="T1430"/>
    </row>
    <row r="1431" spans="1:20" ht="17.25" customHeight="1">
      <c r="A1431"/>
      <c r="B1431"/>
      <c r="P1431"/>
      <c r="R1431"/>
      <c r="S1431"/>
      <c r="T1431"/>
    </row>
    <row r="1432" spans="1:20" ht="17.25" customHeight="1">
      <c r="A1432"/>
      <c r="B1432"/>
      <c r="P1432"/>
      <c r="R1432"/>
      <c r="S1432"/>
      <c r="T1432"/>
    </row>
    <row r="1433" spans="1:20" ht="17.25" customHeight="1">
      <c r="A1433"/>
      <c r="B1433"/>
      <c r="P1433"/>
      <c r="R1433"/>
      <c r="S1433"/>
      <c r="T1433"/>
    </row>
    <row r="1434" spans="1:20" ht="17.25" customHeight="1">
      <c r="A1434"/>
      <c r="B1434"/>
      <c r="P1434"/>
      <c r="R1434"/>
      <c r="S1434"/>
      <c r="T1434"/>
    </row>
    <row r="1435" spans="1:20" ht="17.25" customHeight="1">
      <c r="A1435"/>
      <c r="B1435"/>
      <c r="P1435"/>
      <c r="R1435"/>
      <c r="S1435"/>
      <c r="T1435"/>
    </row>
    <row r="1436" spans="1:20" ht="17.25" customHeight="1">
      <c r="A1436"/>
      <c r="B1436"/>
      <c r="P1436"/>
      <c r="R1436"/>
      <c r="S1436"/>
      <c r="T1436"/>
    </row>
    <row r="1437" spans="1:20" ht="17.25" customHeight="1">
      <c r="A1437"/>
      <c r="B1437"/>
      <c r="P1437"/>
      <c r="R1437"/>
      <c r="S1437"/>
      <c r="T1437"/>
    </row>
    <row r="1438" spans="1:20" ht="17.25" customHeight="1">
      <c r="A1438"/>
      <c r="B1438"/>
      <c r="P1438"/>
      <c r="R1438"/>
      <c r="S1438"/>
      <c r="T1438"/>
    </row>
    <row r="1439" spans="1:20" ht="17.25" customHeight="1">
      <c r="A1439"/>
      <c r="B1439"/>
      <c r="P1439"/>
      <c r="R1439"/>
      <c r="S1439"/>
      <c r="T1439"/>
    </row>
    <row r="1440" spans="1:20" ht="17.25" customHeight="1">
      <c r="A1440"/>
      <c r="B1440"/>
      <c r="P1440"/>
      <c r="R1440"/>
      <c r="S1440"/>
      <c r="T1440"/>
    </row>
    <row r="1441" spans="1:20" ht="17.25" customHeight="1">
      <c r="A1441"/>
      <c r="B1441"/>
      <c r="P1441"/>
      <c r="R1441"/>
      <c r="S1441"/>
      <c r="T1441"/>
    </row>
    <row r="1442" spans="1:20" ht="17.25" customHeight="1">
      <c r="A1442"/>
      <c r="B1442"/>
      <c r="P1442"/>
      <c r="R1442"/>
      <c r="S1442"/>
      <c r="T1442"/>
    </row>
    <row r="1443" spans="1:20" ht="17.25" customHeight="1">
      <c r="A1443"/>
      <c r="B1443"/>
      <c r="P1443"/>
      <c r="R1443"/>
      <c r="S1443"/>
      <c r="T1443"/>
    </row>
    <row r="1444" spans="1:20" ht="17.25" customHeight="1">
      <c r="A1444"/>
      <c r="B1444"/>
      <c r="P1444"/>
      <c r="R1444"/>
      <c r="S1444"/>
      <c r="T1444"/>
    </row>
    <row r="1445" spans="1:20" ht="17.25" customHeight="1">
      <c r="A1445"/>
      <c r="B1445"/>
      <c r="P1445"/>
      <c r="R1445"/>
      <c r="S1445"/>
      <c r="T1445"/>
    </row>
    <row r="1446" spans="1:20" ht="17.25" customHeight="1">
      <c r="A1446"/>
      <c r="B1446"/>
      <c r="P1446"/>
      <c r="R1446"/>
      <c r="S1446"/>
      <c r="T1446"/>
    </row>
    <row r="1447" spans="1:20" ht="17.25" customHeight="1">
      <c r="A1447"/>
      <c r="B1447"/>
      <c r="P1447"/>
      <c r="R1447"/>
      <c r="S1447"/>
      <c r="T1447"/>
    </row>
    <row r="1448" spans="1:20" ht="17.25" customHeight="1">
      <c r="A1448"/>
      <c r="B1448"/>
      <c r="P1448"/>
      <c r="R1448"/>
      <c r="S1448"/>
      <c r="T1448"/>
    </row>
    <row r="1449" spans="1:20" ht="17.25" customHeight="1">
      <c r="A1449"/>
      <c r="B1449"/>
      <c r="P1449"/>
      <c r="R1449"/>
      <c r="S1449"/>
      <c r="T1449"/>
    </row>
    <row r="1450" spans="1:20" ht="17.25" customHeight="1">
      <c r="A1450"/>
      <c r="B1450"/>
      <c r="P1450"/>
      <c r="R1450"/>
      <c r="S1450"/>
      <c r="T1450"/>
    </row>
    <row r="1451" spans="1:20" ht="17.25" customHeight="1">
      <c r="A1451"/>
      <c r="B1451"/>
      <c r="P1451"/>
      <c r="R1451"/>
      <c r="S1451"/>
      <c r="T1451"/>
    </row>
    <row r="1452" spans="1:20" ht="17.25" customHeight="1">
      <c r="A1452"/>
      <c r="B1452"/>
      <c r="P1452"/>
      <c r="R1452"/>
      <c r="S1452"/>
      <c r="T1452"/>
    </row>
    <row r="1453" spans="1:20" ht="17.25" customHeight="1">
      <c r="A1453"/>
      <c r="B1453"/>
      <c r="P1453"/>
      <c r="R1453"/>
      <c r="S1453"/>
      <c r="T1453"/>
    </row>
    <row r="1454" spans="1:20" ht="17.25" customHeight="1">
      <c r="A1454"/>
      <c r="B1454"/>
      <c r="P1454"/>
      <c r="R1454"/>
      <c r="S1454"/>
      <c r="T1454"/>
    </row>
    <row r="1455" spans="1:20" ht="17.25" customHeight="1">
      <c r="A1455"/>
      <c r="B1455"/>
      <c r="P1455"/>
      <c r="R1455"/>
      <c r="S1455"/>
      <c r="T1455"/>
    </row>
    <row r="1456" spans="1:20" ht="17.25" customHeight="1">
      <c r="A1456"/>
      <c r="B1456"/>
      <c r="P1456"/>
      <c r="R1456"/>
      <c r="S1456"/>
      <c r="T1456"/>
    </row>
    <row r="1457" spans="1:20" ht="17.25" customHeight="1">
      <c r="A1457"/>
      <c r="B1457"/>
      <c r="P1457"/>
      <c r="R1457"/>
      <c r="S1457"/>
      <c r="T1457"/>
    </row>
    <row r="1458" spans="1:20" ht="17.25" customHeight="1">
      <c r="A1458"/>
      <c r="B1458"/>
      <c r="P1458"/>
      <c r="R1458"/>
      <c r="S1458"/>
      <c r="T1458"/>
    </row>
    <row r="1459" spans="1:20" ht="17.25" customHeight="1">
      <c r="A1459"/>
      <c r="B1459"/>
      <c r="P1459"/>
      <c r="R1459"/>
      <c r="S1459"/>
      <c r="T1459"/>
    </row>
    <row r="1460" spans="1:20" ht="17.25" customHeight="1">
      <c r="A1460"/>
      <c r="B1460"/>
      <c r="P1460"/>
      <c r="R1460"/>
      <c r="S1460"/>
      <c r="T1460"/>
    </row>
    <row r="1461" spans="1:20" ht="17.25" customHeight="1">
      <c r="A1461"/>
      <c r="B1461"/>
      <c r="P1461"/>
      <c r="R1461"/>
      <c r="S1461"/>
      <c r="T1461"/>
    </row>
    <row r="1462" spans="1:20" ht="17.25" customHeight="1">
      <c r="A1462"/>
      <c r="B1462"/>
      <c r="P1462"/>
      <c r="R1462"/>
      <c r="S1462"/>
      <c r="T1462"/>
    </row>
    <row r="1463" spans="1:20" ht="17.25" customHeight="1">
      <c r="A1463"/>
      <c r="B1463"/>
      <c r="P1463"/>
      <c r="R1463"/>
      <c r="S1463"/>
      <c r="T1463"/>
    </row>
    <row r="1464" spans="1:20" ht="17.25" customHeight="1">
      <c r="A1464"/>
      <c r="B1464"/>
      <c r="P1464"/>
      <c r="R1464"/>
      <c r="S1464"/>
      <c r="T1464"/>
    </row>
    <row r="1465" spans="1:20" ht="17.25" customHeight="1">
      <c r="A1465"/>
      <c r="B1465"/>
      <c r="P1465"/>
      <c r="R1465"/>
      <c r="S1465"/>
      <c r="T1465"/>
    </row>
    <row r="1466" spans="1:20" ht="17.25" customHeight="1">
      <c r="A1466"/>
      <c r="B1466"/>
      <c r="P1466"/>
      <c r="R1466"/>
      <c r="S1466"/>
      <c r="T1466"/>
    </row>
    <row r="1467" spans="1:20" ht="17.25" customHeight="1">
      <c r="A1467"/>
      <c r="B1467"/>
      <c r="P1467"/>
      <c r="R1467"/>
      <c r="S1467"/>
      <c r="T1467"/>
    </row>
    <row r="1468" spans="1:20" ht="17.25" customHeight="1">
      <c r="A1468"/>
      <c r="B1468"/>
      <c r="P1468"/>
      <c r="R1468"/>
      <c r="S1468"/>
      <c r="T1468"/>
    </row>
    <row r="1469" spans="1:20" ht="17.25" customHeight="1">
      <c r="A1469"/>
      <c r="B1469"/>
      <c r="P1469"/>
      <c r="R1469"/>
      <c r="S1469"/>
      <c r="T1469"/>
    </row>
    <row r="1470" spans="1:20" ht="17.25" customHeight="1">
      <c r="A1470"/>
      <c r="B1470"/>
      <c r="P1470"/>
      <c r="R1470"/>
      <c r="S1470"/>
      <c r="T1470"/>
    </row>
    <row r="1471" spans="1:20" ht="17.25" customHeight="1">
      <c r="A1471"/>
      <c r="B1471"/>
      <c r="P1471"/>
      <c r="R1471"/>
      <c r="S1471"/>
      <c r="T1471"/>
    </row>
    <row r="1472" spans="1:20" ht="17.25" customHeight="1">
      <c r="A1472"/>
      <c r="B1472"/>
      <c r="P1472"/>
      <c r="R1472"/>
      <c r="S1472"/>
      <c r="T1472"/>
    </row>
    <row r="1473" spans="1:20" ht="17.25" customHeight="1">
      <c r="A1473"/>
      <c r="B1473"/>
      <c r="P1473"/>
      <c r="R1473"/>
      <c r="S1473"/>
      <c r="T1473"/>
    </row>
    <row r="1474" spans="1:20" ht="17.25" customHeight="1">
      <c r="A1474"/>
      <c r="B1474"/>
      <c r="P1474"/>
      <c r="R1474"/>
      <c r="S1474"/>
      <c r="T1474"/>
    </row>
    <row r="1475" spans="1:20" ht="17.25" customHeight="1">
      <c r="A1475"/>
      <c r="B1475"/>
      <c r="P1475"/>
      <c r="R1475"/>
      <c r="S1475"/>
      <c r="T1475"/>
    </row>
    <row r="1476" spans="1:20" ht="17.25" customHeight="1">
      <c r="A1476"/>
      <c r="B1476"/>
      <c r="P1476"/>
      <c r="R1476"/>
      <c r="S1476"/>
      <c r="T1476"/>
    </row>
    <row r="1477" spans="1:20" ht="17.25" customHeight="1">
      <c r="A1477"/>
      <c r="B1477"/>
      <c r="P1477"/>
      <c r="R1477"/>
      <c r="S1477"/>
      <c r="T1477"/>
    </row>
    <row r="1478" spans="1:20" ht="17.25" customHeight="1">
      <c r="A1478"/>
      <c r="B1478"/>
      <c r="P1478"/>
      <c r="R1478"/>
      <c r="S1478"/>
      <c r="T1478"/>
    </row>
    <row r="1479" spans="1:20" ht="17.25" customHeight="1">
      <c r="A1479"/>
      <c r="B1479"/>
      <c r="P1479"/>
      <c r="R1479"/>
      <c r="S1479"/>
      <c r="T1479"/>
    </row>
    <row r="1480" spans="1:20" ht="17.25" customHeight="1">
      <c r="A1480"/>
      <c r="B1480"/>
      <c r="P1480"/>
      <c r="R1480"/>
      <c r="S1480"/>
      <c r="T1480"/>
    </row>
    <row r="1481" spans="1:20" ht="17.25" customHeight="1">
      <c r="A1481"/>
      <c r="B1481"/>
      <c r="P1481"/>
      <c r="R1481"/>
      <c r="S1481"/>
      <c r="T1481"/>
    </row>
    <row r="1482" spans="1:20" ht="17.25" customHeight="1">
      <c r="A1482"/>
      <c r="B1482"/>
      <c r="P1482"/>
      <c r="R1482"/>
      <c r="S1482"/>
      <c r="T1482"/>
    </row>
    <row r="1483" spans="1:20" ht="17.25" customHeight="1">
      <c r="A1483"/>
      <c r="B1483"/>
      <c r="P1483"/>
      <c r="R1483"/>
      <c r="S1483"/>
      <c r="T1483"/>
    </row>
    <row r="1484" spans="1:20" ht="17.25" customHeight="1">
      <c r="A1484"/>
      <c r="B1484"/>
      <c r="P1484"/>
      <c r="R1484"/>
      <c r="S1484"/>
      <c r="T1484"/>
    </row>
    <row r="1485" spans="1:20" ht="17.25" customHeight="1">
      <c r="A1485"/>
      <c r="B1485"/>
      <c r="P1485"/>
      <c r="R1485"/>
      <c r="S1485"/>
      <c r="T1485"/>
    </row>
    <row r="1486" spans="1:20" ht="17.25" customHeight="1">
      <c r="A1486"/>
      <c r="B1486"/>
      <c r="P1486"/>
      <c r="R1486"/>
      <c r="S1486"/>
      <c r="T1486"/>
    </row>
    <row r="1487" spans="1:20" ht="17.25" customHeight="1">
      <c r="A1487"/>
      <c r="B1487"/>
      <c r="P1487"/>
      <c r="R1487"/>
      <c r="S1487"/>
      <c r="T1487"/>
    </row>
    <row r="1488" spans="1:20" ht="17.25" customHeight="1">
      <c r="A1488"/>
      <c r="B1488"/>
      <c r="P1488"/>
      <c r="R1488"/>
      <c r="S1488"/>
      <c r="T1488"/>
    </row>
    <row r="1489" spans="1:20" ht="17.25" customHeight="1">
      <c r="A1489"/>
      <c r="B1489"/>
      <c r="P1489"/>
      <c r="R1489"/>
      <c r="S1489"/>
      <c r="T1489"/>
    </row>
    <row r="1490" spans="1:20" ht="17.25" customHeight="1">
      <c r="A1490"/>
      <c r="B1490"/>
      <c r="P1490"/>
      <c r="R1490"/>
      <c r="S1490"/>
      <c r="T1490"/>
    </row>
    <row r="1491" spans="1:20" ht="17.25" customHeight="1">
      <c r="A1491"/>
      <c r="B1491"/>
      <c r="P1491"/>
      <c r="R1491"/>
      <c r="S1491"/>
      <c r="T1491"/>
    </row>
    <row r="1492" spans="1:20" ht="17.25" customHeight="1">
      <c r="A1492"/>
      <c r="B1492"/>
      <c r="P1492"/>
      <c r="R1492"/>
      <c r="S1492"/>
      <c r="T1492"/>
    </row>
    <row r="1493" spans="1:20" ht="17.25" customHeight="1">
      <c r="A1493"/>
      <c r="B1493"/>
      <c r="P1493"/>
      <c r="R1493"/>
      <c r="S1493"/>
      <c r="T1493"/>
    </row>
    <row r="1494" spans="1:20" ht="17.25" customHeight="1">
      <c r="A1494"/>
      <c r="B1494"/>
      <c r="P1494"/>
      <c r="R1494"/>
      <c r="S1494"/>
      <c r="T1494"/>
    </row>
    <row r="1495" spans="1:20" ht="17.25" customHeight="1">
      <c r="A1495"/>
      <c r="B1495"/>
      <c r="P1495"/>
      <c r="R1495"/>
      <c r="S1495"/>
      <c r="T1495"/>
    </row>
    <row r="1496" spans="1:20" ht="17.25" customHeight="1">
      <c r="A1496"/>
      <c r="B1496"/>
      <c r="P1496"/>
      <c r="R1496"/>
      <c r="S1496"/>
      <c r="T1496"/>
    </row>
    <row r="1497" spans="1:20" ht="17.25" customHeight="1">
      <c r="A1497"/>
      <c r="B1497"/>
      <c r="P1497"/>
      <c r="R1497"/>
      <c r="S1497"/>
      <c r="T1497"/>
    </row>
    <row r="1498" spans="1:20" ht="17.25" customHeight="1">
      <c r="A1498"/>
      <c r="B1498"/>
      <c r="P1498"/>
      <c r="R1498"/>
      <c r="S1498"/>
      <c r="T1498"/>
    </row>
    <row r="1499" spans="1:20" ht="17.25" customHeight="1">
      <c r="A1499"/>
      <c r="B1499"/>
      <c r="P1499"/>
      <c r="R1499"/>
      <c r="S1499"/>
      <c r="T1499"/>
    </row>
    <row r="1500" spans="1:20" ht="17.25" customHeight="1">
      <c r="A1500"/>
      <c r="B1500"/>
      <c r="P1500"/>
      <c r="R1500"/>
      <c r="S1500"/>
      <c r="T1500"/>
    </row>
    <row r="1501" spans="1:20" ht="17.25" customHeight="1">
      <c r="A1501"/>
      <c r="B1501"/>
      <c r="P1501"/>
      <c r="R1501"/>
      <c r="S1501"/>
      <c r="T1501"/>
    </row>
    <row r="1502" spans="1:20" ht="17.25" customHeight="1">
      <c r="A1502"/>
      <c r="B1502"/>
      <c r="P1502"/>
      <c r="R1502"/>
      <c r="S1502"/>
      <c r="T1502"/>
    </row>
    <row r="1503" spans="1:20" ht="17.25" customHeight="1">
      <c r="A1503"/>
      <c r="B1503"/>
      <c r="P1503"/>
      <c r="R1503"/>
      <c r="S1503"/>
      <c r="T1503"/>
    </row>
    <row r="1504" spans="1:20" ht="17.25" customHeight="1">
      <c r="A1504"/>
      <c r="B1504"/>
      <c r="P1504"/>
      <c r="R1504"/>
      <c r="S1504"/>
      <c r="T1504"/>
    </row>
    <row r="1505" spans="1:20" ht="17.25" customHeight="1">
      <c r="A1505"/>
      <c r="B1505"/>
      <c r="P1505"/>
      <c r="R1505"/>
      <c r="S1505"/>
      <c r="T1505"/>
    </row>
    <row r="1506" spans="1:20" ht="17.25" customHeight="1">
      <c r="A1506"/>
      <c r="B1506"/>
      <c r="P1506"/>
      <c r="R1506"/>
      <c r="S1506"/>
      <c r="T1506"/>
    </row>
    <row r="1507" spans="1:20" ht="17.25" customHeight="1">
      <c r="A1507"/>
      <c r="B1507"/>
      <c r="P1507"/>
      <c r="R1507"/>
      <c r="S1507"/>
      <c r="T1507"/>
    </row>
    <row r="1508" spans="1:20" ht="17.25" customHeight="1">
      <c r="A1508"/>
      <c r="B1508"/>
      <c r="P1508"/>
      <c r="R1508"/>
      <c r="S1508"/>
      <c r="T1508"/>
    </row>
    <row r="1509" spans="1:20" ht="17.25" customHeight="1">
      <c r="A1509"/>
      <c r="B1509"/>
      <c r="P1509"/>
      <c r="R1509"/>
      <c r="S1509"/>
      <c r="T1509"/>
    </row>
    <row r="1510" spans="1:20" ht="17.25" customHeight="1">
      <c r="A1510"/>
      <c r="B1510"/>
      <c r="P1510"/>
      <c r="R1510"/>
      <c r="S1510"/>
      <c r="T1510"/>
    </row>
    <row r="1511" spans="1:20" ht="17.25" customHeight="1">
      <c r="A1511"/>
      <c r="B1511"/>
      <c r="P1511"/>
      <c r="R1511"/>
      <c r="S1511"/>
      <c r="T1511"/>
    </row>
    <row r="1512" spans="1:20" ht="17.25" customHeight="1">
      <c r="A1512"/>
      <c r="B1512"/>
      <c r="P1512"/>
      <c r="R1512"/>
      <c r="S1512"/>
      <c r="T1512"/>
    </row>
    <row r="1513" spans="1:20" ht="17.25" customHeight="1">
      <c r="A1513"/>
      <c r="B1513"/>
      <c r="P1513"/>
      <c r="R1513"/>
      <c r="S1513"/>
      <c r="T1513"/>
    </row>
    <row r="1514" spans="1:20" ht="17.25" customHeight="1">
      <c r="A1514"/>
      <c r="B1514"/>
      <c r="P1514"/>
      <c r="R1514"/>
      <c r="S1514"/>
      <c r="T1514"/>
    </row>
    <row r="1515" spans="1:20" ht="17.25" customHeight="1">
      <c r="A1515"/>
      <c r="B1515"/>
      <c r="P1515"/>
      <c r="R1515"/>
      <c r="S1515"/>
      <c r="T1515"/>
    </row>
    <row r="1516" spans="1:20" ht="17.25" customHeight="1">
      <c r="A1516"/>
      <c r="B1516"/>
      <c r="P1516"/>
      <c r="R1516"/>
      <c r="S1516"/>
      <c r="T1516"/>
    </row>
    <row r="1517" spans="1:20" ht="17.25" customHeight="1">
      <c r="A1517"/>
      <c r="B1517"/>
      <c r="P1517"/>
      <c r="R1517"/>
      <c r="S1517"/>
      <c r="T1517"/>
    </row>
    <row r="1518" spans="1:20" ht="17.25" customHeight="1">
      <c r="A1518"/>
      <c r="B1518"/>
      <c r="P1518"/>
      <c r="R1518"/>
      <c r="S1518"/>
      <c r="T1518"/>
    </row>
    <row r="1519" spans="1:20" ht="17.25" customHeight="1">
      <c r="A1519"/>
      <c r="B1519"/>
      <c r="P1519"/>
      <c r="R1519"/>
      <c r="S1519"/>
      <c r="T1519"/>
    </row>
    <row r="1520" spans="1:20" ht="17.25" customHeight="1">
      <c r="A1520"/>
      <c r="B1520"/>
      <c r="P1520"/>
      <c r="R1520"/>
      <c r="S1520"/>
      <c r="T1520"/>
    </row>
    <row r="1521" spans="1:20" ht="17.25" customHeight="1">
      <c r="A1521"/>
      <c r="B1521"/>
      <c r="P1521"/>
      <c r="R1521"/>
      <c r="S1521"/>
      <c r="T1521"/>
    </row>
    <row r="1522" spans="1:20" ht="17.25" customHeight="1">
      <c r="A1522"/>
      <c r="B1522"/>
      <c r="P1522"/>
      <c r="R1522"/>
      <c r="S1522"/>
      <c r="T1522"/>
    </row>
    <row r="1523" spans="1:20" ht="17.25" customHeight="1">
      <c r="A1523"/>
      <c r="B1523"/>
      <c r="P1523"/>
      <c r="R1523"/>
      <c r="S1523"/>
      <c r="T1523"/>
    </row>
    <row r="1524" spans="1:20" ht="17.25" customHeight="1">
      <c r="A1524"/>
      <c r="B1524"/>
      <c r="P1524"/>
      <c r="R1524"/>
      <c r="S1524"/>
      <c r="T1524"/>
    </row>
    <row r="1525" spans="1:20" ht="17.25" customHeight="1">
      <c r="A1525"/>
      <c r="B1525"/>
      <c r="P1525"/>
      <c r="R1525"/>
      <c r="S1525"/>
      <c r="T1525"/>
    </row>
    <row r="1526" spans="1:20" ht="17.25" customHeight="1">
      <c r="A1526"/>
      <c r="B1526"/>
      <c r="P1526"/>
      <c r="R1526"/>
      <c r="S1526"/>
      <c r="T1526"/>
    </row>
    <row r="1527" spans="1:20" ht="17.25" customHeight="1">
      <c r="A1527"/>
      <c r="B1527"/>
      <c r="P1527"/>
      <c r="R1527"/>
      <c r="S1527"/>
      <c r="T1527"/>
    </row>
    <row r="1528" spans="1:20" ht="17.25" customHeight="1">
      <c r="A1528"/>
      <c r="B1528"/>
      <c r="P1528"/>
      <c r="R1528"/>
      <c r="S1528"/>
      <c r="T1528"/>
    </row>
    <row r="1529" spans="1:20" ht="17.25" customHeight="1">
      <c r="A1529"/>
      <c r="B1529"/>
      <c r="P1529"/>
      <c r="R1529"/>
      <c r="S1529"/>
      <c r="T1529"/>
    </row>
    <row r="1530" spans="1:20" ht="17.25" customHeight="1">
      <c r="A1530"/>
      <c r="B1530"/>
      <c r="P1530"/>
      <c r="R1530"/>
      <c r="S1530"/>
      <c r="T1530"/>
    </row>
    <row r="1531" spans="1:20" ht="17.25" customHeight="1">
      <c r="A1531"/>
      <c r="B1531"/>
      <c r="P1531"/>
      <c r="R1531"/>
      <c r="S1531"/>
      <c r="T1531"/>
    </row>
    <row r="1532" spans="1:20" ht="17.25" customHeight="1">
      <c r="A1532"/>
      <c r="B1532"/>
      <c r="P1532"/>
      <c r="R1532"/>
      <c r="S1532"/>
      <c r="T1532"/>
    </row>
    <row r="1533" spans="1:20" ht="17.25" customHeight="1">
      <c r="A1533"/>
      <c r="B1533"/>
      <c r="P1533"/>
      <c r="R1533"/>
      <c r="S1533"/>
      <c r="T1533"/>
    </row>
    <row r="1534" spans="1:20" ht="17.25" customHeight="1">
      <c r="A1534"/>
      <c r="B1534"/>
      <c r="P1534"/>
      <c r="R1534"/>
      <c r="S1534"/>
      <c r="T1534"/>
    </row>
    <row r="1535" spans="1:20" ht="17.25" customHeight="1">
      <c r="A1535"/>
      <c r="B1535"/>
      <c r="P1535"/>
      <c r="R1535"/>
      <c r="S1535"/>
      <c r="T1535"/>
    </row>
    <row r="1536" spans="1:20" ht="17.25" customHeight="1">
      <c r="A1536"/>
      <c r="B1536"/>
      <c r="P1536"/>
      <c r="R1536"/>
      <c r="S1536"/>
      <c r="T1536"/>
    </row>
    <row r="1537" spans="1:20" ht="17.25" customHeight="1">
      <c r="A1537"/>
      <c r="B1537"/>
      <c r="P1537"/>
      <c r="R1537"/>
      <c r="S1537"/>
      <c r="T1537"/>
    </row>
    <row r="1538" spans="1:20" ht="17.25" customHeight="1">
      <c r="A1538"/>
      <c r="B1538"/>
      <c r="P1538"/>
      <c r="R1538"/>
      <c r="S1538"/>
      <c r="T1538"/>
    </row>
    <row r="1539" spans="1:20" ht="17.25" customHeight="1">
      <c r="A1539"/>
      <c r="B1539"/>
      <c r="P1539"/>
      <c r="R1539"/>
      <c r="S1539"/>
      <c r="T1539"/>
    </row>
    <row r="1540" spans="1:20" ht="17.25" customHeight="1">
      <c r="A1540"/>
      <c r="B1540"/>
      <c r="P1540"/>
      <c r="R1540"/>
      <c r="S1540"/>
      <c r="T1540"/>
    </row>
    <row r="1541" spans="1:20" ht="17.25" customHeight="1">
      <c r="A1541"/>
      <c r="B1541"/>
      <c r="P1541"/>
      <c r="R1541"/>
      <c r="S1541"/>
      <c r="T1541"/>
    </row>
    <row r="1542" spans="1:20" ht="17.25" customHeight="1">
      <c r="A1542"/>
      <c r="B1542"/>
      <c r="P1542"/>
      <c r="R1542"/>
      <c r="S1542"/>
      <c r="T1542"/>
    </row>
    <row r="1543" spans="1:20" ht="17.25" customHeight="1">
      <c r="A1543"/>
      <c r="B1543"/>
      <c r="P1543"/>
      <c r="R1543"/>
      <c r="S1543"/>
      <c r="T1543"/>
    </row>
    <row r="1544" spans="1:20" ht="17.25" customHeight="1">
      <c r="A1544"/>
      <c r="B1544"/>
      <c r="P1544"/>
      <c r="R1544"/>
      <c r="S1544"/>
      <c r="T1544"/>
    </row>
    <row r="1545" spans="1:20" ht="17.25" customHeight="1">
      <c r="A1545"/>
      <c r="B1545"/>
      <c r="P1545"/>
      <c r="R1545"/>
      <c r="S1545"/>
      <c r="T1545"/>
    </row>
    <row r="1546" spans="1:20" ht="17.25" customHeight="1">
      <c r="A1546"/>
      <c r="B1546"/>
      <c r="P1546"/>
      <c r="R1546"/>
      <c r="S1546"/>
      <c r="T1546"/>
    </row>
    <row r="1547" spans="1:20" ht="17.25" customHeight="1">
      <c r="A1547"/>
      <c r="B1547"/>
      <c r="P1547"/>
      <c r="R1547"/>
      <c r="S1547"/>
      <c r="T1547"/>
    </row>
    <row r="1548" spans="1:20" ht="17.25" customHeight="1">
      <c r="A1548"/>
      <c r="B1548"/>
      <c r="P1548"/>
      <c r="R1548"/>
      <c r="S1548"/>
      <c r="T1548"/>
    </row>
    <row r="1549" spans="1:20" ht="17.25" customHeight="1">
      <c r="A1549"/>
      <c r="B1549"/>
      <c r="P1549"/>
      <c r="R1549"/>
      <c r="S1549"/>
      <c r="T1549"/>
    </row>
    <row r="1550" spans="1:20" ht="17.25" customHeight="1">
      <c r="A1550"/>
      <c r="B1550"/>
      <c r="P1550"/>
      <c r="R1550"/>
      <c r="S1550"/>
      <c r="T1550"/>
    </row>
    <row r="1551" spans="1:20" ht="17.25" customHeight="1">
      <c r="A1551"/>
      <c r="B1551"/>
      <c r="P1551"/>
      <c r="R1551"/>
      <c r="S1551"/>
      <c r="T1551"/>
    </row>
    <row r="1552" spans="1:20" ht="17.25" customHeight="1">
      <c r="A1552"/>
      <c r="B1552"/>
      <c r="P1552"/>
      <c r="R1552"/>
      <c r="S1552"/>
      <c r="T1552"/>
    </row>
    <row r="1553" spans="1:20" ht="17.25" customHeight="1">
      <c r="A1553"/>
      <c r="B1553"/>
      <c r="P1553"/>
      <c r="R1553"/>
      <c r="S1553"/>
      <c r="T1553"/>
    </row>
    <row r="1554" spans="1:20" ht="17.25" customHeight="1">
      <c r="A1554"/>
      <c r="B1554"/>
      <c r="P1554"/>
      <c r="R1554"/>
      <c r="S1554"/>
      <c r="T1554"/>
    </row>
    <row r="1555" spans="1:20" ht="17.25" customHeight="1">
      <c r="A1555"/>
      <c r="B1555"/>
      <c r="P1555"/>
      <c r="R1555"/>
      <c r="S1555"/>
      <c r="T1555"/>
    </row>
    <row r="1556" spans="1:20" ht="17.25" customHeight="1">
      <c r="A1556"/>
      <c r="B1556"/>
      <c r="P1556"/>
      <c r="R1556"/>
      <c r="S1556"/>
      <c r="T1556"/>
    </row>
    <row r="1557" spans="1:20" ht="17.25" customHeight="1">
      <c r="A1557"/>
      <c r="B1557"/>
      <c r="P1557"/>
      <c r="R1557"/>
      <c r="S1557"/>
      <c r="T1557"/>
    </row>
    <row r="1558" spans="1:20" ht="17.25" customHeight="1">
      <c r="A1558"/>
      <c r="B1558"/>
      <c r="P1558"/>
      <c r="R1558"/>
      <c r="S1558"/>
      <c r="T1558"/>
    </row>
    <row r="1559" spans="1:20" ht="17.25" customHeight="1">
      <c r="A1559"/>
      <c r="B1559"/>
      <c r="P1559"/>
      <c r="R1559"/>
      <c r="S1559"/>
      <c r="T1559"/>
    </row>
    <row r="1560" spans="1:20" ht="17.25" customHeight="1">
      <c r="A1560"/>
      <c r="B1560"/>
      <c r="P1560"/>
      <c r="R1560"/>
      <c r="S1560"/>
      <c r="T1560"/>
    </row>
    <row r="1561" spans="1:20" ht="17.25" customHeight="1">
      <c r="A1561"/>
      <c r="B1561"/>
      <c r="P1561"/>
      <c r="R1561"/>
      <c r="S1561"/>
      <c r="T1561"/>
    </row>
    <row r="1562" spans="1:20" ht="17.25" customHeight="1">
      <c r="A1562"/>
      <c r="B1562"/>
      <c r="P1562"/>
      <c r="R1562"/>
      <c r="S1562"/>
      <c r="T1562"/>
    </row>
    <row r="1563" spans="1:20" ht="17.25" customHeight="1">
      <c r="A1563"/>
      <c r="B1563"/>
      <c r="P1563"/>
      <c r="R1563"/>
      <c r="S1563"/>
      <c r="T1563"/>
    </row>
    <row r="1564" spans="1:20" ht="17.25" customHeight="1">
      <c r="A1564"/>
      <c r="B1564"/>
      <c r="P1564"/>
      <c r="R1564"/>
      <c r="S1564"/>
      <c r="T1564"/>
    </row>
    <row r="1565" spans="1:20" ht="17.25" customHeight="1">
      <c r="A1565"/>
      <c r="B1565"/>
      <c r="P1565"/>
      <c r="R1565"/>
      <c r="S1565"/>
      <c r="T1565"/>
    </row>
    <row r="1566" spans="1:20" ht="17.25" customHeight="1">
      <c r="A1566"/>
      <c r="B1566"/>
      <c r="P1566"/>
      <c r="R1566"/>
      <c r="S1566"/>
      <c r="T1566"/>
    </row>
    <row r="1567" spans="1:20" ht="17.25" customHeight="1">
      <c r="A1567"/>
      <c r="B1567"/>
      <c r="P1567"/>
      <c r="R1567"/>
      <c r="S1567"/>
      <c r="T1567"/>
    </row>
    <row r="1568" spans="1:20" ht="17.25" customHeight="1">
      <c r="A1568"/>
      <c r="B1568"/>
      <c r="P1568"/>
      <c r="R1568"/>
      <c r="S1568"/>
      <c r="T1568"/>
    </row>
    <row r="1569" spans="1:20" ht="17.25" customHeight="1">
      <c r="A1569"/>
      <c r="B1569"/>
      <c r="P1569"/>
      <c r="R1569"/>
      <c r="S1569"/>
      <c r="T1569"/>
    </row>
    <row r="1570" spans="1:20" ht="17.25" customHeight="1">
      <c r="A1570"/>
      <c r="B1570"/>
      <c r="P1570"/>
      <c r="R1570"/>
      <c r="S1570"/>
      <c r="T1570"/>
    </row>
    <row r="1571" spans="1:20" ht="17.25" customHeight="1">
      <c r="A1571"/>
      <c r="B1571"/>
      <c r="P1571"/>
      <c r="R1571"/>
      <c r="S1571"/>
      <c r="T1571"/>
    </row>
    <row r="1572" spans="1:20" ht="17.25" customHeight="1">
      <c r="A1572"/>
      <c r="B1572"/>
      <c r="P1572"/>
      <c r="R1572"/>
      <c r="S1572"/>
      <c r="T1572"/>
    </row>
    <row r="1573" spans="1:20" ht="17.25" customHeight="1">
      <c r="A1573"/>
      <c r="B1573"/>
      <c r="P1573"/>
      <c r="R1573"/>
      <c r="S1573"/>
      <c r="T1573"/>
    </row>
    <row r="1574" spans="1:20" ht="17.25" customHeight="1">
      <c r="A1574"/>
      <c r="B1574"/>
      <c r="P1574"/>
      <c r="R1574"/>
      <c r="S1574"/>
      <c r="T1574"/>
    </row>
    <row r="1575" spans="1:20" ht="17.25" customHeight="1">
      <c r="A1575"/>
      <c r="B1575"/>
      <c r="P1575"/>
      <c r="R1575"/>
      <c r="S1575"/>
      <c r="T1575"/>
    </row>
    <row r="1576" spans="1:20" ht="17.25" customHeight="1">
      <c r="A1576"/>
      <c r="B1576"/>
      <c r="P1576"/>
      <c r="R1576"/>
      <c r="S1576"/>
      <c r="T1576"/>
    </row>
    <row r="1577" spans="1:20" ht="17.25" customHeight="1">
      <c r="A1577"/>
      <c r="B1577"/>
      <c r="P1577"/>
      <c r="R1577"/>
      <c r="S1577"/>
      <c r="T1577"/>
    </row>
    <row r="1578" spans="1:20" ht="17.25" customHeight="1">
      <c r="A1578"/>
      <c r="B1578"/>
      <c r="P1578"/>
      <c r="R1578"/>
      <c r="S1578"/>
      <c r="T1578"/>
    </row>
    <row r="1579" spans="1:20" ht="17.25" customHeight="1">
      <c r="A1579"/>
      <c r="B1579"/>
      <c r="P1579"/>
      <c r="R1579"/>
      <c r="S1579"/>
      <c r="T1579"/>
    </row>
    <row r="1580" spans="1:20" ht="17.25" customHeight="1">
      <c r="A1580"/>
      <c r="B1580"/>
      <c r="P1580"/>
      <c r="R1580"/>
      <c r="S1580"/>
      <c r="T1580"/>
    </row>
    <row r="1581" spans="1:20" ht="17.25" customHeight="1">
      <c r="A1581"/>
      <c r="B1581"/>
      <c r="P1581"/>
      <c r="R1581"/>
      <c r="S1581"/>
      <c r="T1581"/>
    </row>
    <row r="1582" spans="1:20" ht="17.25" customHeight="1">
      <c r="A1582"/>
      <c r="B1582"/>
      <c r="P1582"/>
      <c r="R1582"/>
      <c r="S1582"/>
      <c r="T1582"/>
    </row>
    <row r="1583" spans="1:20" ht="17.25" customHeight="1">
      <c r="A1583"/>
      <c r="B1583"/>
      <c r="P1583"/>
      <c r="R1583"/>
      <c r="S1583"/>
      <c r="T1583"/>
    </row>
    <row r="1584" spans="1:20" ht="17.25" customHeight="1">
      <c r="A1584"/>
      <c r="B1584"/>
      <c r="P1584"/>
      <c r="R1584"/>
      <c r="S1584"/>
      <c r="T1584"/>
    </row>
    <row r="1585" spans="1:20" ht="17.25" customHeight="1">
      <c r="A1585"/>
      <c r="B1585"/>
      <c r="P1585"/>
      <c r="R1585"/>
      <c r="S1585"/>
      <c r="T1585"/>
    </row>
    <row r="1586" spans="1:20" ht="17.25" customHeight="1">
      <c r="A1586"/>
      <c r="B1586"/>
      <c r="P1586"/>
      <c r="R1586"/>
      <c r="S1586"/>
      <c r="T1586"/>
    </row>
    <row r="1587" spans="1:20" ht="17.25" customHeight="1">
      <c r="A1587"/>
      <c r="B1587"/>
      <c r="P1587"/>
      <c r="R1587"/>
      <c r="S1587"/>
      <c r="T1587"/>
    </row>
    <row r="1588" spans="1:20" ht="17.25" customHeight="1">
      <c r="A1588"/>
      <c r="B1588"/>
      <c r="P1588"/>
      <c r="R1588"/>
      <c r="S1588"/>
      <c r="T1588"/>
    </row>
    <row r="1589" spans="1:20" ht="17.25" customHeight="1">
      <c r="A1589"/>
      <c r="B1589"/>
      <c r="P1589"/>
      <c r="R1589"/>
      <c r="S1589"/>
      <c r="T1589"/>
    </row>
    <row r="1590" spans="1:20" ht="17.25" customHeight="1">
      <c r="A1590"/>
      <c r="B1590"/>
      <c r="P1590"/>
      <c r="R1590"/>
      <c r="S1590"/>
      <c r="T1590"/>
    </row>
    <row r="1591" spans="1:20" ht="17.25" customHeight="1">
      <c r="A1591"/>
      <c r="B1591"/>
      <c r="P1591"/>
      <c r="R1591"/>
      <c r="S1591"/>
      <c r="T1591"/>
    </row>
    <row r="1592" spans="1:20" ht="17.25" customHeight="1">
      <c r="A1592"/>
      <c r="B1592"/>
      <c r="P1592"/>
      <c r="R1592"/>
      <c r="S1592"/>
      <c r="T1592"/>
    </row>
    <row r="1593" spans="1:20" ht="17.25" customHeight="1">
      <c r="A1593"/>
      <c r="B1593"/>
      <c r="P1593"/>
      <c r="R1593"/>
      <c r="S1593"/>
      <c r="T1593"/>
    </row>
    <row r="1594" spans="1:20" ht="17.25" customHeight="1">
      <c r="A1594"/>
      <c r="B1594"/>
      <c r="P1594"/>
      <c r="R1594"/>
      <c r="S1594"/>
      <c r="T1594"/>
    </row>
    <row r="1595" spans="1:20" ht="17.25" customHeight="1">
      <c r="A1595"/>
      <c r="B1595"/>
      <c r="P1595"/>
      <c r="R1595"/>
      <c r="S1595"/>
      <c r="T1595"/>
    </row>
    <row r="1596" spans="1:20" ht="17.25" customHeight="1">
      <c r="A1596"/>
      <c r="B1596"/>
      <c r="P1596"/>
      <c r="R1596"/>
      <c r="S1596"/>
      <c r="T1596"/>
    </row>
    <row r="1597" spans="1:20" ht="17.25" customHeight="1">
      <c r="A1597"/>
      <c r="B1597"/>
      <c r="P1597"/>
      <c r="R1597"/>
      <c r="S1597"/>
      <c r="T1597"/>
    </row>
    <row r="1598" spans="1:20" ht="17.25" customHeight="1">
      <c r="A1598"/>
      <c r="B1598"/>
      <c r="P1598"/>
      <c r="R1598"/>
      <c r="S1598"/>
      <c r="T1598"/>
    </row>
    <row r="1599" spans="1:20" ht="17.25" customHeight="1">
      <c r="A1599"/>
      <c r="B1599"/>
      <c r="P1599"/>
      <c r="R1599"/>
      <c r="S1599"/>
      <c r="T1599"/>
    </row>
    <row r="1600" spans="1:20" ht="17.25" customHeight="1">
      <c r="A1600"/>
      <c r="B1600"/>
      <c r="P1600"/>
      <c r="R1600"/>
      <c r="S1600"/>
      <c r="T1600"/>
    </row>
    <row r="1601" spans="1:20" ht="17.25" customHeight="1">
      <c r="A1601"/>
      <c r="B1601"/>
      <c r="P1601"/>
      <c r="R1601"/>
      <c r="S1601"/>
      <c r="T1601"/>
    </row>
    <row r="1602" spans="1:20" ht="17.25" customHeight="1">
      <c r="A1602"/>
      <c r="B1602"/>
      <c r="P1602"/>
      <c r="R1602"/>
      <c r="S1602"/>
      <c r="T1602"/>
    </row>
    <row r="1603" spans="1:20" ht="17.25" customHeight="1">
      <c r="A1603"/>
      <c r="B1603"/>
      <c r="P1603"/>
      <c r="R1603"/>
      <c r="S1603"/>
      <c r="T1603"/>
    </row>
    <row r="1604" spans="1:20" ht="17.25" customHeight="1">
      <c r="A1604"/>
      <c r="B1604"/>
      <c r="P1604"/>
      <c r="R1604"/>
      <c r="S1604"/>
      <c r="T1604"/>
    </row>
    <row r="1605" spans="1:20" ht="17.25" customHeight="1">
      <c r="A1605"/>
      <c r="B1605"/>
      <c r="P1605"/>
      <c r="R1605"/>
      <c r="S1605"/>
      <c r="T1605"/>
    </row>
    <row r="1606" spans="1:20" ht="17.25" customHeight="1">
      <c r="A1606"/>
      <c r="B1606"/>
      <c r="P1606"/>
      <c r="R1606"/>
      <c r="S1606"/>
      <c r="T1606"/>
    </row>
    <row r="1607" spans="1:20" ht="17.25" customHeight="1">
      <c r="A1607"/>
      <c r="B1607"/>
      <c r="P1607"/>
      <c r="R1607"/>
      <c r="S1607"/>
      <c r="T1607"/>
    </row>
    <row r="1608" spans="1:20" ht="17.25" customHeight="1">
      <c r="A1608"/>
      <c r="B1608"/>
      <c r="P1608"/>
      <c r="R1608"/>
      <c r="S1608"/>
      <c r="T1608"/>
    </row>
    <row r="1609" spans="1:20" ht="17.25" customHeight="1">
      <c r="A1609"/>
      <c r="B1609"/>
      <c r="P1609"/>
      <c r="R1609"/>
      <c r="S1609"/>
      <c r="T1609"/>
    </row>
    <row r="1610" spans="1:20" ht="17.25" customHeight="1">
      <c r="A1610"/>
      <c r="B1610"/>
      <c r="P1610"/>
      <c r="R1610"/>
      <c r="S1610"/>
      <c r="T1610"/>
    </row>
    <row r="1611" spans="1:20" ht="17.25" customHeight="1">
      <c r="A1611"/>
      <c r="B1611"/>
      <c r="P1611"/>
      <c r="R1611"/>
      <c r="S1611"/>
      <c r="T1611"/>
    </row>
    <row r="1612" spans="1:20" ht="17.25" customHeight="1">
      <c r="A1612"/>
      <c r="B1612"/>
      <c r="P1612"/>
      <c r="R1612"/>
      <c r="S1612"/>
      <c r="T1612"/>
    </row>
    <row r="1613" spans="1:20" ht="17.25" customHeight="1">
      <c r="A1613"/>
      <c r="B1613"/>
      <c r="P1613"/>
      <c r="R1613"/>
      <c r="S1613"/>
      <c r="T1613"/>
    </row>
    <row r="1614" spans="1:20" ht="17.25" customHeight="1">
      <c r="A1614"/>
      <c r="B1614"/>
      <c r="P1614"/>
      <c r="R1614"/>
      <c r="S1614"/>
      <c r="T1614"/>
    </row>
    <row r="1615" spans="1:20" ht="17.25" customHeight="1">
      <c r="A1615"/>
      <c r="B1615"/>
      <c r="P1615"/>
      <c r="R1615"/>
      <c r="S1615"/>
      <c r="T1615"/>
    </row>
    <row r="1616" spans="1:20" ht="17.25" customHeight="1">
      <c r="A1616"/>
      <c r="B1616"/>
      <c r="P1616"/>
      <c r="R1616"/>
      <c r="S1616"/>
      <c r="T1616"/>
    </row>
    <row r="1617" spans="1:20" ht="17.25" customHeight="1">
      <c r="A1617"/>
      <c r="B1617"/>
      <c r="P1617"/>
      <c r="R1617"/>
      <c r="S1617"/>
      <c r="T1617"/>
    </row>
    <row r="1618" spans="1:20" ht="17.25" customHeight="1">
      <c r="A1618"/>
      <c r="B1618"/>
      <c r="P1618"/>
      <c r="R1618"/>
      <c r="S1618"/>
      <c r="T1618"/>
    </row>
    <row r="1619" spans="1:20" ht="17.25" customHeight="1">
      <c r="A1619"/>
      <c r="B1619"/>
      <c r="P1619"/>
      <c r="R1619"/>
      <c r="S1619"/>
      <c r="T1619"/>
    </row>
    <row r="1620" spans="1:20" ht="17.25" customHeight="1">
      <c r="A1620"/>
      <c r="B1620"/>
      <c r="P1620"/>
      <c r="R1620"/>
      <c r="S1620"/>
      <c r="T1620"/>
    </row>
    <row r="1621" spans="1:20" ht="17.25" customHeight="1">
      <c r="A1621"/>
      <c r="B1621"/>
      <c r="P1621"/>
      <c r="R1621"/>
      <c r="S1621"/>
      <c r="T1621"/>
    </row>
    <row r="1622" spans="1:20" ht="17.25" customHeight="1">
      <c r="A1622"/>
      <c r="B1622"/>
      <c r="P1622"/>
      <c r="R1622"/>
      <c r="S1622"/>
      <c r="T1622"/>
    </row>
    <row r="1623" spans="1:20" ht="17.25" customHeight="1">
      <c r="A1623"/>
      <c r="B1623"/>
      <c r="P1623"/>
      <c r="R1623"/>
      <c r="S1623"/>
      <c r="T1623"/>
    </row>
    <row r="1624" spans="1:20" ht="17.25" customHeight="1">
      <c r="A1624"/>
      <c r="B1624"/>
      <c r="P1624"/>
      <c r="R1624"/>
      <c r="S1624"/>
      <c r="T1624"/>
    </row>
    <row r="1625" spans="1:20" ht="17.25" customHeight="1">
      <c r="A1625"/>
      <c r="B1625"/>
      <c r="P1625"/>
      <c r="R1625"/>
      <c r="S1625"/>
      <c r="T1625"/>
    </row>
    <row r="1626" spans="1:20" ht="17.25" customHeight="1">
      <c r="A1626"/>
      <c r="B1626"/>
      <c r="P1626"/>
      <c r="R1626"/>
      <c r="S1626"/>
      <c r="T1626"/>
    </row>
    <row r="1627" spans="1:20" ht="17.25" customHeight="1">
      <c r="A1627"/>
      <c r="B1627"/>
      <c r="P1627"/>
      <c r="R1627"/>
      <c r="S1627"/>
      <c r="T1627"/>
    </row>
    <row r="1628" spans="1:20" ht="17.25" customHeight="1">
      <c r="A1628"/>
      <c r="B1628"/>
      <c r="P1628"/>
      <c r="R1628"/>
      <c r="S1628"/>
      <c r="T1628"/>
    </row>
    <row r="1629" spans="1:20" ht="17.25" customHeight="1">
      <c r="A1629"/>
      <c r="B1629"/>
      <c r="P1629"/>
      <c r="R1629"/>
      <c r="S1629"/>
      <c r="T1629"/>
    </row>
    <row r="1630" spans="1:20" ht="17.25" customHeight="1">
      <c r="A1630"/>
      <c r="B1630"/>
      <c r="P1630"/>
      <c r="R1630"/>
      <c r="S1630"/>
      <c r="T1630"/>
    </row>
    <row r="1631" spans="1:20" ht="17.25" customHeight="1">
      <c r="A1631"/>
      <c r="B1631"/>
      <c r="P1631"/>
      <c r="R1631"/>
      <c r="S1631"/>
      <c r="T1631"/>
    </row>
    <row r="1632" spans="1:20" ht="17.25" customHeight="1">
      <c r="A1632"/>
      <c r="B1632"/>
      <c r="P1632"/>
      <c r="R1632"/>
      <c r="S1632"/>
      <c r="T1632"/>
    </row>
    <row r="1633" spans="1:20" ht="17.25" customHeight="1">
      <c r="A1633"/>
      <c r="B1633"/>
      <c r="P1633"/>
      <c r="R1633"/>
      <c r="S1633"/>
      <c r="T1633"/>
    </row>
    <row r="1634" spans="1:20" ht="17.25" customHeight="1">
      <c r="A1634"/>
      <c r="B1634"/>
      <c r="P1634"/>
      <c r="R1634"/>
      <c r="S1634"/>
      <c r="T1634"/>
    </row>
    <row r="1635" spans="1:20" ht="17.25" customHeight="1">
      <c r="A1635"/>
      <c r="B1635"/>
      <c r="P1635"/>
      <c r="R1635"/>
      <c r="S1635"/>
      <c r="T1635"/>
    </row>
    <row r="1636" spans="1:20" ht="17.25" customHeight="1">
      <c r="A1636"/>
      <c r="B1636"/>
      <c r="P1636"/>
      <c r="R1636"/>
      <c r="S1636"/>
      <c r="T1636"/>
    </row>
    <row r="1637" spans="1:20" ht="17.25" customHeight="1">
      <c r="A1637"/>
      <c r="B1637"/>
      <c r="P1637"/>
      <c r="R1637"/>
      <c r="S1637"/>
      <c r="T1637"/>
    </row>
    <row r="1638" spans="1:20" ht="17.25" customHeight="1">
      <c r="A1638"/>
      <c r="B1638"/>
      <c r="P1638"/>
      <c r="R1638"/>
      <c r="S1638"/>
      <c r="T1638"/>
    </row>
    <row r="1639" spans="1:20" ht="17.25" customHeight="1">
      <c r="A1639"/>
      <c r="B1639"/>
      <c r="P1639"/>
      <c r="R1639"/>
      <c r="S1639"/>
      <c r="T1639"/>
    </row>
    <row r="1640" spans="1:20" ht="17.25" customHeight="1">
      <c r="A1640"/>
      <c r="B1640"/>
      <c r="P1640"/>
      <c r="R1640"/>
      <c r="S1640"/>
      <c r="T1640"/>
    </row>
    <row r="1641" spans="1:20" ht="17.25" customHeight="1">
      <c r="A1641"/>
      <c r="B1641"/>
      <c r="P1641"/>
      <c r="R1641"/>
      <c r="S1641"/>
      <c r="T1641"/>
    </row>
    <row r="1642" spans="1:20" ht="17.25" customHeight="1">
      <c r="A1642"/>
      <c r="B1642"/>
      <c r="P1642"/>
      <c r="R1642"/>
      <c r="S1642"/>
      <c r="T1642"/>
    </row>
    <row r="1643" spans="1:20" ht="17.25" customHeight="1">
      <c r="A1643"/>
      <c r="B1643"/>
      <c r="P1643"/>
      <c r="R1643"/>
      <c r="S1643"/>
      <c r="T1643"/>
    </row>
    <row r="1644" spans="1:20" ht="17.25" customHeight="1">
      <c r="A1644"/>
      <c r="B1644"/>
      <c r="P1644"/>
      <c r="R1644"/>
      <c r="S1644"/>
      <c r="T1644"/>
    </row>
    <row r="1645" spans="1:20" ht="17.25" customHeight="1">
      <c r="A1645"/>
      <c r="B1645"/>
      <c r="P1645"/>
      <c r="R1645"/>
      <c r="S1645"/>
      <c r="T1645"/>
    </row>
    <row r="1646" spans="1:20" ht="17.25" customHeight="1">
      <c r="A1646"/>
      <c r="B1646"/>
      <c r="P1646"/>
      <c r="R1646"/>
      <c r="S1646"/>
      <c r="T1646"/>
    </row>
    <row r="1647" spans="1:20" ht="17.25" customHeight="1">
      <c r="A1647"/>
      <c r="B1647"/>
      <c r="P1647"/>
      <c r="R1647"/>
      <c r="S1647"/>
      <c r="T1647"/>
    </row>
    <row r="1648" spans="1:20" ht="17.25" customHeight="1">
      <c r="A1648"/>
      <c r="B1648"/>
      <c r="P1648"/>
      <c r="R1648"/>
      <c r="S1648"/>
      <c r="T1648"/>
    </row>
    <row r="1649" spans="1:20" ht="17.25" customHeight="1">
      <c r="A1649"/>
      <c r="B1649"/>
      <c r="P1649"/>
      <c r="R1649"/>
      <c r="S1649"/>
      <c r="T1649"/>
    </row>
    <row r="1650" spans="1:20" ht="17.25" customHeight="1">
      <c r="A1650"/>
      <c r="B1650"/>
      <c r="P1650"/>
      <c r="R1650"/>
      <c r="S1650"/>
      <c r="T1650"/>
    </row>
    <row r="1651" spans="1:20" ht="17.25" customHeight="1">
      <c r="A1651"/>
      <c r="B1651"/>
      <c r="P1651"/>
      <c r="R1651"/>
      <c r="S1651"/>
      <c r="T1651"/>
    </row>
    <row r="1652" spans="1:20" ht="17.25" customHeight="1">
      <c r="A1652"/>
      <c r="B1652"/>
      <c r="P1652"/>
      <c r="R1652"/>
      <c r="S1652"/>
      <c r="T1652"/>
    </row>
    <row r="1653" spans="1:20" ht="17.25" customHeight="1">
      <c r="A1653"/>
      <c r="B1653"/>
      <c r="P1653"/>
      <c r="R1653"/>
      <c r="S1653"/>
      <c r="T1653"/>
    </row>
    <row r="1654" spans="1:20" ht="17.25" customHeight="1">
      <c r="A1654"/>
      <c r="B1654"/>
      <c r="P1654"/>
      <c r="R1654"/>
      <c r="S1654"/>
      <c r="T1654"/>
    </row>
    <row r="1655" spans="1:20" ht="17.25" customHeight="1">
      <c r="A1655"/>
      <c r="B1655"/>
      <c r="P1655"/>
      <c r="R1655"/>
      <c r="S1655"/>
      <c r="T1655"/>
    </row>
    <row r="1656" spans="1:20" ht="17.25" customHeight="1">
      <c r="A1656"/>
      <c r="B1656"/>
      <c r="P1656"/>
      <c r="R1656"/>
      <c r="S1656"/>
      <c r="T1656"/>
    </row>
    <row r="1657" spans="1:20" ht="17.25" customHeight="1">
      <c r="A1657"/>
      <c r="B1657"/>
      <c r="P1657"/>
      <c r="R1657"/>
      <c r="S1657"/>
      <c r="T1657"/>
    </row>
    <row r="1658" spans="1:20" ht="17.25" customHeight="1">
      <c r="A1658"/>
      <c r="B1658"/>
      <c r="P1658"/>
      <c r="R1658"/>
      <c r="S1658"/>
      <c r="T1658"/>
    </row>
    <row r="1659" spans="1:20" ht="17.25" customHeight="1">
      <c r="A1659"/>
      <c r="B1659"/>
      <c r="P1659"/>
      <c r="R1659"/>
      <c r="S1659"/>
      <c r="T1659"/>
    </row>
    <row r="1660" spans="1:20" ht="17.25" customHeight="1">
      <c r="A1660"/>
      <c r="B1660"/>
      <c r="P1660"/>
      <c r="R1660"/>
      <c r="S1660"/>
      <c r="T1660"/>
    </row>
    <row r="1661" spans="1:20" ht="17.25" customHeight="1">
      <c r="A1661"/>
      <c r="B1661"/>
      <c r="P1661"/>
      <c r="R1661"/>
      <c r="S1661"/>
      <c r="T1661"/>
    </row>
    <row r="1662" spans="1:20" ht="17.25" customHeight="1">
      <c r="A1662"/>
      <c r="B1662"/>
      <c r="P1662"/>
      <c r="R1662"/>
      <c r="S1662"/>
      <c r="T1662"/>
    </row>
    <row r="1663" spans="1:20" ht="17.25" customHeight="1">
      <c r="A1663"/>
      <c r="B1663"/>
      <c r="P1663"/>
      <c r="R1663"/>
      <c r="S1663"/>
      <c r="T1663"/>
    </row>
    <row r="1664" spans="1:20" ht="17.25" customHeight="1">
      <c r="A1664"/>
      <c r="B1664"/>
      <c r="P1664"/>
      <c r="R1664"/>
      <c r="S1664"/>
      <c r="T1664"/>
    </row>
    <row r="1665" spans="1:20" ht="17.25" customHeight="1">
      <c r="A1665"/>
      <c r="B1665"/>
      <c r="P1665"/>
      <c r="R1665"/>
      <c r="S1665"/>
      <c r="T1665"/>
    </row>
    <row r="1666" spans="1:20" ht="17.25" customHeight="1">
      <c r="A1666"/>
      <c r="B1666"/>
      <c r="P1666"/>
      <c r="R1666"/>
      <c r="S1666"/>
      <c r="T1666"/>
    </row>
    <row r="1667" spans="1:20" ht="17.25" customHeight="1">
      <c r="A1667"/>
      <c r="B1667"/>
      <c r="P1667"/>
      <c r="R1667"/>
      <c r="S1667"/>
      <c r="T1667"/>
    </row>
    <row r="1668" spans="1:20" ht="17.25" customHeight="1">
      <c r="A1668"/>
      <c r="B1668"/>
      <c r="P1668"/>
      <c r="R1668"/>
      <c r="S1668"/>
      <c r="T1668"/>
    </row>
    <row r="1669" spans="1:20" ht="17.25" customHeight="1">
      <c r="A1669"/>
      <c r="B1669"/>
      <c r="P1669"/>
      <c r="R1669"/>
      <c r="S1669"/>
      <c r="T1669"/>
    </row>
    <row r="1670" spans="1:20" ht="17.25" customHeight="1">
      <c r="A1670"/>
      <c r="B1670"/>
      <c r="P1670"/>
      <c r="R1670"/>
      <c r="S1670"/>
      <c r="T1670"/>
    </row>
    <row r="1671" spans="1:20" ht="17.25" customHeight="1">
      <c r="A1671"/>
      <c r="B1671"/>
      <c r="P1671"/>
      <c r="R1671"/>
      <c r="S1671"/>
      <c r="T1671"/>
    </row>
    <row r="1672" spans="1:20" ht="17.25" customHeight="1">
      <c r="A1672"/>
      <c r="B1672"/>
      <c r="P1672"/>
      <c r="R1672"/>
      <c r="S1672"/>
      <c r="T1672"/>
    </row>
    <row r="1673" spans="1:20" ht="17.25" customHeight="1">
      <c r="A1673"/>
      <c r="B1673"/>
      <c r="P1673"/>
      <c r="R1673"/>
      <c r="S1673"/>
      <c r="T1673"/>
    </row>
    <row r="1674" spans="1:20" ht="17.25" customHeight="1">
      <c r="A1674"/>
      <c r="B1674"/>
      <c r="P1674"/>
      <c r="R1674"/>
      <c r="S1674"/>
      <c r="T1674"/>
    </row>
    <row r="1675" spans="1:20" ht="17.25" customHeight="1">
      <c r="A1675"/>
      <c r="B1675"/>
      <c r="P1675"/>
      <c r="R1675"/>
      <c r="S1675"/>
      <c r="T1675"/>
    </row>
    <row r="1676" spans="1:20" ht="17.25" customHeight="1">
      <c r="A1676"/>
      <c r="B1676"/>
      <c r="P1676"/>
      <c r="R1676"/>
      <c r="S1676"/>
      <c r="T1676"/>
    </row>
    <row r="1677" spans="1:20" ht="17.25" customHeight="1">
      <c r="A1677"/>
      <c r="B1677"/>
      <c r="P1677"/>
      <c r="R1677"/>
      <c r="S1677"/>
      <c r="T1677"/>
    </row>
    <row r="1678" spans="1:20" ht="17.25" customHeight="1">
      <c r="A1678"/>
      <c r="B1678"/>
      <c r="P1678"/>
      <c r="R1678"/>
      <c r="S1678"/>
      <c r="T1678"/>
    </row>
    <row r="1679" spans="1:20" ht="17.25" customHeight="1">
      <c r="A1679"/>
      <c r="B1679"/>
      <c r="P1679"/>
      <c r="R1679"/>
      <c r="S1679"/>
      <c r="T1679"/>
    </row>
    <row r="1680" spans="1:20" ht="17.25" customHeight="1">
      <c r="A1680"/>
      <c r="B1680"/>
      <c r="P1680"/>
      <c r="R1680"/>
      <c r="S1680"/>
      <c r="T1680"/>
    </row>
    <row r="1681" spans="1:20" ht="17.25" customHeight="1">
      <c r="A1681"/>
      <c r="B1681"/>
      <c r="P1681"/>
      <c r="R1681"/>
      <c r="S1681"/>
      <c r="T1681"/>
    </row>
    <row r="1682" spans="1:20" ht="17.25" customHeight="1">
      <c r="A1682"/>
      <c r="B1682"/>
      <c r="P1682"/>
      <c r="R1682"/>
      <c r="S1682"/>
      <c r="T1682"/>
    </row>
    <row r="1683" spans="1:20" ht="17.25" customHeight="1">
      <c r="A1683"/>
      <c r="B1683"/>
      <c r="P1683"/>
      <c r="R1683"/>
      <c r="S1683"/>
      <c r="T1683"/>
    </row>
    <row r="1684" spans="1:20" ht="17.25" customHeight="1">
      <c r="A1684"/>
      <c r="B1684"/>
      <c r="P1684"/>
      <c r="R1684"/>
      <c r="S1684"/>
      <c r="T1684"/>
    </row>
    <row r="1685" spans="1:20" ht="17.25" customHeight="1">
      <c r="A1685"/>
      <c r="B1685"/>
      <c r="P1685"/>
      <c r="R1685"/>
      <c r="S1685"/>
      <c r="T1685"/>
    </row>
    <row r="1686" spans="1:20" ht="17.25" customHeight="1">
      <c r="A1686"/>
      <c r="B1686"/>
      <c r="P1686"/>
      <c r="R1686"/>
      <c r="S1686"/>
      <c r="T1686"/>
    </row>
    <row r="1687" spans="1:20" ht="17.25" customHeight="1">
      <c r="A1687"/>
      <c r="B1687"/>
      <c r="P1687"/>
      <c r="R1687"/>
      <c r="S1687"/>
      <c r="T1687"/>
    </row>
    <row r="1688" spans="1:20" ht="17.25" customHeight="1">
      <c r="A1688"/>
      <c r="B1688"/>
      <c r="P1688"/>
      <c r="R1688"/>
      <c r="S1688"/>
      <c r="T1688"/>
    </row>
    <row r="1689" spans="1:20" ht="17.25" customHeight="1">
      <c r="A1689"/>
      <c r="B1689"/>
      <c r="P1689"/>
      <c r="R1689"/>
      <c r="S1689"/>
      <c r="T1689"/>
    </row>
    <row r="1690" spans="1:20" ht="17.25" customHeight="1">
      <c r="A1690"/>
      <c r="B1690"/>
      <c r="P1690"/>
      <c r="R1690"/>
      <c r="S1690"/>
      <c r="T1690"/>
    </row>
    <row r="1691" spans="1:20" ht="17.25" customHeight="1">
      <c r="A1691"/>
      <c r="B1691"/>
      <c r="P1691"/>
      <c r="R1691"/>
      <c r="S1691"/>
      <c r="T1691"/>
    </row>
    <row r="1692" spans="1:20" ht="17.25" customHeight="1">
      <c r="A1692"/>
      <c r="B1692"/>
      <c r="P1692"/>
      <c r="R1692"/>
      <c r="S1692"/>
      <c r="T1692"/>
    </row>
    <row r="1693" spans="1:20" ht="17.25" customHeight="1">
      <c r="A1693"/>
      <c r="B1693"/>
      <c r="P1693"/>
      <c r="R1693"/>
      <c r="S1693"/>
      <c r="T1693"/>
    </row>
    <row r="1694" spans="1:20" ht="17.25" customHeight="1">
      <c r="A1694"/>
      <c r="B1694"/>
      <c r="P1694"/>
      <c r="R1694"/>
      <c r="S1694"/>
      <c r="T1694"/>
    </row>
    <row r="1695" spans="1:20" ht="17.25" customHeight="1">
      <c r="A1695"/>
      <c r="B1695"/>
      <c r="P1695"/>
      <c r="R1695"/>
      <c r="S1695"/>
      <c r="T1695"/>
    </row>
    <row r="1696" spans="1:20" ht="17.25" customHeight="1">
      <c r="A1696"/>
      <c r="B1696"/>
      <c r="P1696"/>
      <c r="R1696"/>
      <c r="S1696"/>
      <c r="T1696"/>
    </row>
    <row r="1697" spans="1:20" ht="17.25" customHeight="1">
      <c r="A1697"/>
      <c r="B1697"/>
      <c r="P1697"/>
      <c r="R1697"/>
      <c r="S1697"/>
      <c r="T1697"/>
    </row>
    <row r="1698" spans="1:20" ht="17.25" customHeight="1">
      <c r="A1698"/>
      <c r="B1698"/>
      <c r="P1698"/>
      <c r="R1698"/>
      <c r="S1698"/>
      <c r="T1698"/>
    </row>
    <row r="1699" spans="1:20" ht="17.25" customHeight="1">
      <c r="A1699"/>
      <c r="B1699"/>
      <c r="P1699"/>
      <c r="R1699"/>
      <c r="S1699"/>
      <c r="T1699"/>
    </row>
    <row r="1700" spans="1:20" ht="17.25" customHeight="1">
      <c r="A1700"/>
      <c r="B1700"/>
      <c r="P1700"/>
      <c r="R1700"/>
      <c r="S1700"/>
      <c r="T1700"/>
    </row>
    <row r="1701" spans="1:20" ht="17.25" customHeight="1">
      <c r="A1701"/>
      <c r="B1701"/>
      <c r="P1701"/>
      <c r="R1701"/>
      <c r="S1701"/>
      <c r="T1701"/>
    </row>
    <row r="1702" spans="1:20" ht="17.25" customHeight="1">
      <c r="A1702"/>
      <c r="B1702"/>
      <c r="P1702"/>
      <c r="R1702"/>
      <c r="S1702"/>
      <c r="T1702"/>
    </row>
    <row r="1703" spans="1:20" ht="17.25" customHeight="1">
      <c r="A1703"/>
      <c r="B1703"/>
      <c r="P1703"/>
      <c r="R1703"/>
      <c r="S1703"/>
      <c r="T1703"/>
    </row>
    <row r="1704" spans="1:20" ht="17.25" customHeight="1">
      <c r="A1704"/>
      <c r="B1704"/>
      <c r="P1704"/>
      <c r="R1704"/>
      <c r="S1704"/>
      <c r="T1704"/>
    </row>
    <row r="1705" spans="1:20" ht="17.25" customHeight="1">
      <c r="A1705"/>
      <c r="B1705"/>
      <c r="P1705"/>
      <c r="R1705"/>
      <c r="S1705"/>
      <c r="T1705"/>
    </row>
    <row r="1706" spans="1:20" ht="17.25" customHeight="1">
      <c r="A1706"/>
      <c r="B1706"/>
      <c r="P1706"/>
      <c r="R1706"/>
      <c r="S1706"/>
      <c r="T1706"/>
    </row>
    <row r="1707" spans="1:20" ht="17.25" customHeight="1">
      <c r="A1707"/>
      <c r="B1707"/>
      <c r="P1707"/>
      <c r="R1707"/>
      <c r="S1707"/>
      <c r="T1707"/>
    </row>
    <row r="1708" spans="1:20" ht="17.25" customHeight="1">
      <c r="A1708"/>
      <c r="B1708"/>
      <c r="P1708"/>
      <c r="R1708"/>
      <c r="S1708"/>
      <c r="T1708"/>
    </row>
    <row r="1709" spans="1:20" ht="17.25" customHeight="1">
      <c r="A1709"/>
      <c r="B1709"/>
      <c r="P1709"/>
      <c r="R1709"/>
      <c r="S1709"/>
      <c r="T1709"/>
    </row>
    <row r="1710" spans="1:20" ht="17.25" customHeight="1">
      <c r="A1710"/>
      <c r="B1710"/>
      <c r="P1710"/>
      <c r="R1710"/>
      <c r="S1710"/>
      <c r="T1710"/>
    </row>
    <row r="1711" spans="1:20" ht="17.25" customHeight="1">
      <c r="A1711"/>
      <c r="B1711"/>
      <c r="P1711"/>
      <c r="R1711"/>
      <c r="S1711"/>
      <c r="T1711"/>
    </row>
    <row r="1712" spans="1:20" ht="17.25" customHeight="1">
      <c r="A1712"/>
      <c r="B1712"/>
      <c r="P1712"/>
      <c r="R1712"/>
      <c r="S1712"/>
      <c r="T1712"/>
    </row>
    <row r="1713" spans="1:20" ht="17.25" customHeight="1">
      <c r="A1713"/>
      <c r="B1713"/>
      <c r="P1713"/>
      <c r="R1713"/>
      <c r="S1713"/>
      <c r="T1713"/>
    </row>
    <row r="1714" spans="1:20" ht="17.25" customHeight="1">
      <c r="A1714"/>
      <c r="B1714"/>
      <c r="P1714"/>
      <c r="R1714"/>
      <c r="S1714"/>
      <c r="T1714"/>
    </row>
    <row r="1715" spans="1:20" ht="17.25" customHeight="1">
      <c r="A1715"/>
      <c r="B1715"/>
      <c r="P1715"/>
      <c r="R1715"/>
      <c r="S1715"/>
      <c r="T1715"/>
    </row>
    <row r="1716" spans="1:20" ht="17.25" customHeight="1">
      <c r="A1716"/>
      <c r="B1716"/>
      <c r="P1716"/>
      <c r="R1716"/>
      <c r="S1716"/>
      <c r="T1716"/>
    </row>
    <row r="1717" spans="1:20" ht="17.25" customHeight="1">
      <c r="A1717"/>
      <c r="B1717"/>
      <c r="P1717"/>
      <c r="R1717"/>
      <c r="S1717"/>
      <c r="T1717"/>
    </row>
    <row r="1718" spans="1:20" ht="17.25" customHeight="1">
      <c r="A1718"/>
      <c r="B1718"/>
      <c r="P1718"/>
      <c r="R1718"/>
      <c r="S1718"/>
      <c r="T1718"/>
    </row>
    <row r="1719" spans="1:20" ht="17.25" customHeight="1">
      <c r="A1719"/>
      <c r="B1719"/>
      <c r="P1719"/>
      <c r="R1719"/>
      <c r="S1719"/>
      <c r="T1719"/>
    </row>
    <row r="1720" spans="1:20" ht="17.25" customHeight="1">
      <c r="A1720"/>
      <c r="B1720"/>
      <c r="P1720"/>
      <c r="R1720"/>
      <c r="S1720"/>
      <c r="T1720"/>
    </row>
    <row r="1721" spans="1:20" ht="17.25" customHeight="1">
      <c r="A1721"/>
      <c r="B1721"/>
      <c r="P1721"/>
      <c r="R1721"/>
      <c r="S1721"/>
      <c r="T1721"/>
    </row>
    <row r="1722" spans="1:20" ht="17.25" customHeight="1">
      <c r="A1722"/>
      <c r="B1722"/>
      <c r="P1722"/>
      <c r="R1722"/>
      <c r="S1722"/>
      <c r="T1722"/>
    </row>
    <row r="1723" spans="1:20" ht="17.25" customHeight="1">
      <c r="A1723"/>
      <c r="B1723"/>
      <c r="P1723"/>
      <c r="R1723"/>
      <c r="S1723"/>
      <c r="T1723"/>
    </row>
    <row r="1724" spans="1:20" ht="17.25" customHeight="1">
      <c r="A1724"/>
      <c r="B1724"/>
      <c r="P1724"/>
      <c r="R1724"/>
      <c r="S1724"/>
      <c r="T1724"/>
    </row>
    <row r="1725" spans="1:20" ht="17.25" customHeight="1">
      <c r="A1725"/>
      <c r="B1725"/>
      <c r="P1725"/>
      <c r="R1725"/>
      <c r="S1725"/>
      <c r="T1725"/>
    </row>
    <row r="1726" spans="1:20" ht="17.25" customHeight="1">
      <c r="A1726"/>
      <c r="B1726"/>
      <c r="P1726"/>
      <c r="R1726"/>
      <c r="S1726"/>
      <c r="T1726"/>
    </row>
    <row r="1727" spans="1:20" ht="17.25" customHeight="1">
      <c r="A1727"/>
      <c r="B1727"/>
      <c r="P1727"/>
      <c r="R1727"/>
      <c r="S1727"/>
      <c r="T1727"/>
    </row>
    <row r="1728" spans="1:20" ht="17.25" customHeight="1">
      <c r="A1728"/>
      <c r="B1728"/>
      <c r="P1728"/>
      <c r="R1728"/>
      <c r="S1728"/>
      <c r="T1728"/>
    </row>
    <row r="1729" spans="1:20" ht="17.25" customHeight="1">
      <c r="A1729"/>
      <c r="B1729"/>
      <c r="P1729"/>
      <c r="R1729"/>
      <c r="S1729"/>
      <c r="T1729"/>
    </row>
    <row r="1730" spans="1:20" ht="17.25" customHeight="1">
      <c r="A1730"/>
      <c r="B1730"/>
      <c r="P1730"/>
      <c r="R1730"/>
      <c r="S1730"/>
      <c r="T1730"/>
    </row>
    <row r="1731" spans="1:20" ht="17.25" customHeight="1">
      <c r="A1731"/>
      <c r="B1731"/>
      <c r="P1731"/>
      <c r="R1731"/>
      <c r="S1731"/>
      <c r="T1731"/>
    </row>
    <row r="1732" spans="1:20" ht="17.25" customHeight="1">
      <c r="A1732"/>
      <c r="B1732"/>
      <c r="P1732"/>
      <c r="R1732"/>
      <c r="S1732"/>
      <c r="T1732"/>
    </row>
    <row r="1733" spans="1:20" ht="17.25" customHeight="1">
      <c r="A1733"/>
      <c r="B1733"/>
      <c r="P1733"/>
      <c r="R1733"/>
      <c r="S1733"/>
      <c r="T1733"/>
    </row>
    <row r="1734" spans="1:20" ht="17.25" customHeight="1">
      <c r="A1734"/>
      <c r="B1734"/>
      <c r="P1734"/>
      <c r="R1734"/>
      <c r="S1734"/>
      <c r="T1734"/>
    </row>
    <row r="1735" spans="1:20" ht="17.25" customHeight="1">
      <c r="A1735"/>
      <c r="B1735"/>
      <c r="P1735"/>
      <c r="R1735"/>
      <c r="S1735"/>
      <c r="T1735"/>
    </row>
    <row r="1736" spans="1:20" ht="17.25" customHeight="1">
      <c r="A1736"/>
      <c r="B1736"/>
      <c r="P1736"/>
      <c r="R1736"/>
      <c r="S1736"/>
      <c r="T1736"/>
    </row>
    <row r="1737" spans="1:20" ht="17.25" customHeight="1">
      <c r="A1737"/>
      <c r="B1737"/>
      <c r="P1737"/>
      <c r="R1737"/>
      <c r="S1737"/>
      <c r="T1737"/>
    </row>
    <row r="1738" spans="1:20" ht="17.25" customHeight="1">
      <c r="A1738"/>
      <c r="B1738"/>
      <c r="P1738"/>
      <c r="R1738"/>
      <c r="S1738"/>
      <c r="T1738"/>
    </row>
    <row r="1739" spans="1:20" ht="17.25" customHeight="1">
      <c r="A1739"/>
      <c r="B1739"/>
      <c r="P1739"/>
      <c r="R1739"/>
      <c r="S1739"/>
      <c r="T1739"/>
    </row>
    <row r="1740" spans="1:20" ht="17.25" customHeight="1">
      <c r="A1740"/>
      <c r="B1740"/>
      <c r="P1740"/>
      <c r="R1740"/>
      <c r="S1740"/>
      <c r="T1740"/>
    </row>
    <row r="1741" spans="1:20" ht="17.25" customHeight="1">
      <c r="A1741"/>
      <c r="B1741"/>
      <c r="P1741"/>
      <c r="R1741"/>
      <c r="S1741"/>
      <c r="T1741"/>
    </row>
    <row r="1742" spans="1:20" ht="17.25" customHeight="1">
      <c r="A1742"/>
      <c r="B1742"/>
      <c r="P1742"/>
      <c r="R1742"/>
      <c r="S1742"/>
      <c r="T1742"/>
    </row>
    <row r="1743" spans="1:20" ht="17.25" customHeight="1">
      <c r="A1743"/>
      <c r="B1743"/>
      <c r="P1743"/>
      <c r="R1743"/>
      <c r="S1743"/>
      <c r="T1743"/>
    </row>
    <row r="1744" spans="1:20" ht="17.25" customHeight="1">
      <c r="A1744"/>
      <c r="B1744"/>
      <c r="P1744"/>
      <c r="R1744"/>
      <c r="S1744"/>
      <c r="T1744"/>
    </row>
    <row r="1745" spans="1:20" ht="17.25" customHeight="1">
      <c r="A1745"/>
      <c r="B1745"/>
      <c r="P1745"/>
      <c r="R1745"/>
      <c r="S1745"/>
      <c r="T1745"/>
    </row>
    <row r="1746" spans="1:20" ht="17.25" customHeight="1">
      <c r="A1746"/>
      <c r="B1746"/>
      <c r="P1746"/>
      <c r="R1746"/>
      <c r="S1746"/>
      <c r="T1746"/>
    </row>
    <row r="1747" spans="1:20" ht="17.25" customHeight="1">
      <c r="A1747"/>
      <c r="B1747"/>
      <c r="P1747"/>
      <c r="R1747"/>
      <c r="S1747"/>
      <c r="T1747"/>
    </row>
    <row r="1748" spans="1:20" ht="17.25" customHeight="1">
      <c r="A1748"/>
      <c r="B1748"/>
      <c r="P1748"/>
      <c r="R1748"/>
      <c r="S1748"/>
      <c r="T1748"/>
    </row>
    <row r="1749" spans="1:20" ht="17.25" customHeight="1">
      <c r="A1749"/>
      <c r="B1749"/>
      <c r="P1749"/>
      <c r="R1749"/>
      <c r="S1749"/>
      <c r="T1749"/>
    </row>
    <row r="1750" spans="1:20" ht="17.25" customHeight="1">
      <c r="A1750"/>
      <c r="B1750"/>
      <c r="P1750"/>
      <c r="R1750"/>
      <c r="S1750"/>
      <c r="T1750"/>
    </row>
    <row r="1751" spans="1:20" ht="17.25" customHeight="1">
      <c r="A1751"/>
      <c r="B1751"/>
      <c r="P1751"/>
      <c r="R1751"/>
      <c r="S1751"/>
      <c r="T1751"/>
    </row>
    <row r="1752" spans="1:20" ht="17.25" customHeight="1">
      <c r="A1752"/>
      <c r="B1752"/>
      <c r="P1752"/>
      <c r="R1752"/>
      <c r="S1752"/>
      <c r="T1752"/>
    </row>
    <row r="1753" spans="1:20" ht="17.25" customHeight="1">
      <c r="A1753"/>
      <c r="B1753"/>
      <c r="P1753"/>
      <c r="R1753"/>
      <c r="S1753"/>
      <c r="T1753"/>
    </row>
    <row r="1754" spans="1:20" ht="17.25" customHeight="1">
      <c r="A1754"/>
      <c r="B1754"/>
      <c r="P1754"/>
      <c r="R1754"/>
      <c r="S1754"/>
      <c r="T1754"/>
    </row>
    <row r="1755" spans="1:20" ht="17.25" customHeight="1">
      <c r="A1755"/>
      <c r="B1755"/>
      <c r="P1755"/>
      <c r="R1755"/>
      <c r="S1755"/>
      <c r="T1755"/>
    </row>
    <row r="1756" spans="1:20" ht="17.25" customHeight="1">
      <c r="A1756"/>
      <c r="B1756"/>
      <c r="P1756"/>
      <c r="R1756"/>
      <c r="S1756"/>
      <c r="T1756"/>
    </row>
    <row r="1757" spans="1:20" ht="17.25" customHeight="1">
      <c r="A1757"/>
      <c r="B1757"/>
      <c r="P1757"/>
      <c r="R1757"/>
      <c r="S1757"/>
      <c r="T1757"/>
    </row>
    <row r="1758" spans="1:20" ht="17.25" customHeight="1">
      <c r="A1758"/>
      <c r="B1758"/>
      <c r="P1758"/>
      <c r="R1758"/>
      <c r="S1758"/>
      <c r="T1758"/>
    </row>
    <row r="1759" spans="1:20" ht="17.25" customHeight="1">
      <c r="A1759"/>
      <c r="B1759"/>
      <c r="P1759"/>
      <c r="R1759"/>
      <c r="S1759"/>
      <c r="T1759"/>
    </row>
    <row r="1760" spans="1:20" ht="17.25" customHeight="1">
      <c r="A1760"/>
      <c r="B1760"/>
      <c r="P1760"/>
      <c r="R1760"/>
      <c r="S1760"/>
      <c r="T1760"/>
    </row>
    <row r="1761" spans="1:20" ht="17.25" customHeight="1">
      <c r="A1761"/>
      <c r="B1761"/>
      <c r="P1761"/>
      <c r="R1761"/>
      <c r="S1761"/>
      <c r="T1761"/>
    </row>
    <row r="1762" spans="1:20" ht="17.25" customHeight="1">
      <c r="A1762"/>
      <c r="B1762"/>
      <c r="P1762"/>
      <c r="R1762"/>
      <c r="S1762"/>
      <c r="T1762"/>
    </row>
    <row r="1763" spans="1:20" ht="17.25" customHeight="1">
      <c r="A1763"/>
      <c r="B1763"/>
      <c r="P1763"/>
      <c r="R1763"/>
      <c r="S1763"/>
      <c r="T1763"/>
    </row>
    <row r="1764" spans="1:20" ht="17.25" customHeight="1">
      <c r="A1764"/>
      <c r="B1764"/>
      <c r="P1764"/>
      <c r="R1764"/>
      <c r="S1764"/>
      <c r="T1764"/>
    </row>
    <row r="1765" spans="1:20" ht="17.25" customHeight="1">
      <c r="A1765"/>
      <c r="B1765"/>
      <c r="P1765"/>
      <c r="R1765"/>
      <c r="S1765"/>
      <c r="T1765"/>
    </row>
    <row r="1766" spans="1:20" ht="17.25" customHeight="1">
      <c r="A1766"/>
      <c r="B1766"/>
      <c r="P1766"/>
      <c r="R1766"/>
      <c r="S1766"/>
      <c r="T1766"/>
    </row>
    <row r="1767" spans="1:20" ht="17.25" customHeight="1">
      <c r="A1767"/>
      <c r="B1767"/>
      <c r="P1767"/>
      <c r="R1767"/>
      <c r="S1767"/>
      <c r="T1767"/>
    </row>
    <row r="1768" spans="1:20" ht="17.25" customHeight="1">
      <c r="A1768"/>
      <c r="B1768"/>
      <c r="P1768"/>
      <c r="R1768"/>
      <c r="S1768"/>
      <c r="T1768"/>
    </row>
    <row r="1769" spans="1:20" ht="17.25" customHeight="1">
      <c r="A1769"/>
      <c r="B1769"/>
      <c r="P1769"/>
      <c r="R1769"/>
      <c r="S1769"/>
      <c r="T1769"/>
    </row>
    <row r="1770" spans="1:20" ht="17.25" customHeight="1">
      <c r="A1770"/>
      <c r="B1770"/>
      <c r="P1770"/>
      <c r="R1770"/>
      <c r="S1770"/>
      <c r="T1770"/>
    </row>
    <row r="1771" spans="1:20" ht="17.25" customHeight="1">
      <c r="A1771"/>
      <c r="B1771"/>
      <c r="P1771"/>
      <c r="R1771"/>
      <c r="S1771"/>
      <c r="T1771"/>
    </row>
    <row r="1772" spans="1:20" ht="17.25" customHeight="1">
      <c r="A1772"/>
      <c r="B1772"/>
      <c r="P1772"/>
      <c r="R1772"/>
      <c r="S1772"/>
      <c r="T1772"/>
    </row>
    <row r="1773" spans="1:20" ht="17.25" customHeight="1">
      <c r="A1773"/>
      <c r="B1773"/>
      <c r="P1773"/>
      <c r="R1773"/>
      <c r="S1773"/>
      <c r="T1773"/>
    </row>
    <row r="1774" spans="1:20" ht="17.25" customHeight="1">
      <c r="A1774"/>
      <c r="B1774"/>
      <c r="P1774"/>
      <c r="R1774"/>
      <c r="S1774"/>
      <c r="T1774"/>
    </row>
    <row r="1775" spans="1:20" ht="17.25" customHeight="1">
      <c r="A1775"/>
      <c r="B1775"/>
      <c r="P1775"/>
      <c r="R1775"/>
      <c r="S1775"/>
      <c r="T1775"/>
    </row>
    <row r="1776" spans="1:20" ht="17.25" customHeight="1">
      <c r="A1776"/>
      <c r="B1776"/>
      <c r="P1776"/>
      <c r="R1776"/>
      <c r="S1776"/>
      <c r="T1776"/>
    </row>
    <row r="1777" spans="1:20" ht="17.25" customHeight="1">
      <c r="A1777"/>
      <c r="B1777"/>
      <c r="P1777"/>
      <c r="R1777"/>
      <c r="S1777"/>
      <c r="T1777"/>
    </row>
    <row r="1778" spans="1:20" ht="17.25" customHeight="1">
      <c r="A1778"/>
      <c r="B1778"/>
      <c r="P1778"/>
      <c r="R1778"/>
      <c r="S1778"/>
      <c r="T1778"/>
    </row>
    <row r="1779" spans="1:20" ht="17.25" customHeight="1">
      <c r="A1779"/>
      <c r="B1779"/>
      <c r="P1779"/>
      <c r="R1779"/>
      <c r="S1779"/>
      <c r="T1779"/>
    </row>
    <row r="1780" spans="1:20" ht="17.25" customHeight="1">
      <c r="A1780"/>
      <c r="B1780"/>
      <c r="P1780"/>
      <c r="R1780"/>
      <c r="S1780"/>
      <c r="T1780"/>
    </row>
    <row r="1781" spans="1:20" ht="17.25" customHeight="1">
      <c r="A1781"/>
      <c r="B1781"/>
      <c r="P1781"/>
      <c r="R1781"/>
      <c r="S1781"/>
      <c r="T1781"/>
    </row>
    <row r="1782" spans="1:20" ht="17.25" customHeight="1">
      <c r="A1782"/>
      <c r="B1782"/>
      <c r="P1782"/>
      <c r="R1782"/>
      <c r="S1782"/>
      <c r="T1782"/>
    </row>
    <row r="1783" spans="1:20" ht="17.25" customHeight="1">
      <c r="A1783"/>
      <c r="B1783"/>
      <c r="P1783"/>
      <c r="R1783"/>
      <c r="S1783"/>
      <c r="T1783"/>
    </row>
    <row r="1784" spans="1:20" ht="17.25" customHeight="1">
      <c r="A1784"/>
      <c r="B1784"/>
      <c r="P1784"/>
      <c r="R1784"/>
      <c r="S1784"/>
      <c r="T1784"/>
    </row>
    <row r="1785" spans="1:20" ht="17.25" customHeight="1">
      <c r="A1785"/>
      <c r="B1785"/>
      <c r="P1785"/>
      <c r="R1785"/>
      <c r="S1785"/>
      <c r="T1785"/>
    </row>
    <row r="1786" spans="1:20" ht="17.25" customHeight="1">
      <c r="A1786"/>
      <c r="B1786"/>
      <c r="P1786"/>
      <c r="R1786"/>
      <c r="S1786"/>
      <c r="T1786"/>
    </row>
    <row r="1787" spans="1:20" ht="17.25" customHeight="1">
      <c r="A1787"/>
      <c r="B1787"/>
      <c r="P1787"/>
      <c r="R1787"/>
      <c r="S1787"/>
      <c r="T1787"/>
    </row>
    <row r="1788" spans="1:20" ht="17.25" customHeight="1">
      <c r="A1788"/>
      <c r="B1788"/>
      <c r="P1788"/>
      <c r="R1788"/>
      <c r="S1788"/>
      <c r="T1788"/>
    </row>
    <row r="1789" spans="1:20" ht="17.25" customHeight="1">
      <c r="A1789"/>
      <c r="B1789"/>
      <c r="P1789"/>
      <c r="R1789"/>
      <c r="S1789"/>
      <c r="T1789"/>
    </row>
    <row r="1790" spans="1:20" ht="17.25" customHeight="1">
      <c r="A1790"/>
      <c r="B1790"/>
      <c r="P1790"/>
      <c r="R1790"/>
      <c r="S1790"/>
      <c r="T1790"/>
    </row>
    <row r="1791" spans="1:20" ht="17.25" customHeight="1">
      <c r="A1791"/>
      <c r="B1791"/>
      <c r="P1791"/>
      <c r="R1791"/>
      <c r="S1791"/>
      <c r="T1791"/>
    </row>
    <row r="1792" spans="1:20" ht="17.25" customHeight="1">
      <c r="A1792"/>
      <c r="B1792"/>
      <c r="P1792"/>
      <c r="R1792"/>
      <c r="S1792"/>
      <c r="T1792"/>
    </row>
    <row r="1793" spans="1:20" ht="17.25" customHeight="1">
      <c r="A1793"/>
      <c r="B1793"/>
      <c r="P1793"/>
      <c r="R1793"/>
      <c r="S1793"/>
      <c r="T1793"/>
    </row>
    <row r="1794" spans="1:20" ht="17.25" customHeight="1">
      <c r="A1794"/>
      <c r="B1794"/>
      <c r="P1794"/>
      <c r="R1794"/>
      <c r="S1794"/>
      <c r="T1794"/>
    </row>
    <row r="1795" spans="1:20" ht="17.25" customHeight="1">
      <c r="A1795"/>
      <c r="B1795"/>
      <c r="P1795"/>
      <c r="R1795"/>
      <c r="S1795"/>
      <c r="T1795"/>
    </row>
    <row r="1796" spans="1:20" ht="17.25" customHeight="1">
      <c r="A1796"/>
      <c r="B1796"/>
      <c r="P1796"/>
      <c r="R1796"/>
      <c r="S1796"/>
      <c r="T1796"/>
    </row>
    <row r="1797" spans="1:20" ht="17.25" customHeight="1">
      <c r="A1797"/>
      <c r="B1797"/>
      <c r="P1797"/>
      <c r="R1797"/>
      <c r="S1797"/>
      <c r="T1797"/>
    </row>
    <row r="1798" spans="1:20" ht="17.25" customHeight="1">
      <c r="A1798"/>
      <c r="B1798"/>
      <c r="P1798"/>
      <c r="R1798"/>
      <c r="S1798"/>
      <c r="T1798"/>
    </row>
    <row r="1799" spans="1:20" ht="17.25" customHeight="1">
      <c r="A1799"/>
      <c r="B1799"/>
      <c r="P1799"/>
      <c r="R1799"/>
      <c r="S1799"/>
      <c r="T1799"/>
    </row>
    <row r="1800" spans="1:20" ht="17.25" customHeight="1">
      <c r="A1800"/>
      <c r="B1800"/>
      <c r="P1800"/>
      <c r="R1800"/>
      <c r="S1800"/>
      <c r="T1800"/>
    </row>
    <row r="1801" spans="1:20" ht="17.25" customHeight="1">
      <c r="A1801"/>
      <c r="B1801"/>
      <c r="P1801"/>
      <c r="R1801"/>
      <c r="S1801"/>
      <c r="T1801"/>
    </row>
    <row r="1802" spans="1:20" ht="17.25" customHeight="1">
      <c r="A1802"/>
      <c r="B1802"/>
      <c r="P1802"/>
      <c r="R1802"/>
      <c r="S1802"/>
      <c r="T1802"/>
    </row>
    <row r="1803" spans="1:20" ht="17.25" customHeight="1">
      <c r="A1803"/>
      <c r="B1803"/>
      <c r="P1803"/>
      <c r="R1803"/>
      <c r="S1803"/>
      <c r="T1803"/>
    </row>
    <row r="1804" spans="1:20" ht="17.25" customHeight="1">
      <c r="A1804"/>
      <c r="B1804"/>
      <c r="P1804"/>
      <c r="R1804"/>
      <c r="S1804"/>
      <c r="T1804"/>
    </row>
    <row r="1805" spans="1:20" ht="17.25" customHeight="1">
      <c r="A1805"/>
      <c r="B1805"/>
      <c r="P1805"/>
      <c r="R1805"/>
      <c r="S1805"/>
      <c r="T1805"/>
    </row>
    <row r="1806" spans="1:20" ht="17.25" customHeight="1">
      <c r="A1806"/>
      <c r="B1806"/>
      <c r="P1806"/>
      <c r="R1806"/>
      <c r="S1806"/>
      <c r="T1806"/>
    </row>
    <row r="1807" spans="1:20" ht="17.25" customHeight="1">
      <c r="A1807"/>
      <c r="B1807"/>
      <c r="P1807"/>
      <c r="R1807"/>
      <c r="S1807"/>
      <c r="T1807"/>
    </row>
    <row r="1808" spans="1:20" ht="17.25" customHeight="1">
      <c r="A1808"/>
      <c r="B1808"/>
      <c r="P1808"/>
      <c r="R1808"/>
      <c r="S1808"/>
      <c r="T1808"/>
    </row>
    <row r="1809" spans="1:20" ht="17.25" customHeight="1">
      <c r="A1809"/>
      <c r="B1809"/>
      <c r="P1809"/>
      <c r="R1809"/>
      <c r="S1809"/>
      <c r="T1809"/>
    </row>
    <row r="1810" spans="1:20" ht="17.25" customHeight="1">
      <c r="A1810"/>
      <c r="B1810"/>
      <c r="P1810"/>
      <c r="R1810"/>
      <c r="S1810"/>
      <c r="T1810"/>
    </row>
    <row r="1811" spans="1:20" ht="17.25" customHeight="1">
      <c r="A1811"/>
      <c r="B1811"/>
      <c r="P1811"/>
      <c r="R1811"/>
      <c r="S1811"/>
      <c r="T1811"/>
    </row>
    <row r="1812" spans="1:20" ht="17.25" customHeight="1">
      <c r="A1812"/>
      <c r="B1812"/>
      <c r="P1812"/>
      <c r="R1812"/>
      <c r="S1812"/>
      <c r="T1812"/>
    </row>
    <row r="1813" spans="1:20" ht="17.25" customHeight="1">
      <c r="A1813"/>
      <c r="B1813"/>
      <c r="P1813"/>
      <c r="R1813"/>
      <c r="S1813"/>
      <c r="T1813"/>
    </row>
    <row r="1814" spans="1:20" ht="17.25" customHeight="1">
      <c r="A1814"/>
      <c r="B1814"/>
      <c r="P1814"/>
      <c r="R1814"/>
      <c r="S1814"/>
      <c r="T1814"/>
    </row>
    <row r="1815" spans="1:20" ht="17.25" customHeight="1">
      <c r="A1815"/>
      <c r="B1815"/>
      <c r="P1815"/>
      <c r="R1815"/>
      <c r="S1815"/>
      <c r="T1815"/>
    </row>
    <row r="1816" spans="1:20" ht="17.25" customHeight="1">
      <c r="A1816"/>
      <c r="B1816"/>
      <c r="P1816"/>
      <c r="R1816"/>
      <c r="S1816"/>
      <c r="T1816"/>
    </row>
    <row r="1817" spans="1:20" ht="17.25" customHeight="1">
      <c r="A1817"/>
      <c r="B1817"/>
      <c r="P1817"/>
      <c r="R1817"/>
      <c r="S1817"/>
      <c r="T1817"/>
    </row>
    <row r="1818" spans="1:20" ht="17.25" customHeight="1">
      <c r="A1818"/>
      <c r="B1818"/>
      <c r="P1818"/>
      <c r="R1818"/>
      <c r="S1818"/>
      <c r="T1818"/>
    </row>
    <row r="1819" spans="1:20" ht="17.25" customHeight="1">
      <c r="A1819"/>
      <c r="B1819"/>
      <c r="P1819"/>
      <c r="R1819"/>
      <c r="S1819"/>
      <c r="T1819"/>
    </row>
    <row r="1820" spans="1:20" ht="17.25" customHeight="1">
      <c r="A1820"/>
      <c r="B1820"/>
      <c r="P1820"/>
      <c r="R1820"/>
      <c r="S1820"/>
      <c r="T1820"/>
    </row>
    <row r="1821" spans="1:20" ht="17.25" customHeight="1">
      <c r="A1821"/>
      <c r="B1821"/>
      <c r="P1821"/>
      <c r="R1821"/>
      <c r="S1821"/>
      <c r="T1821"/>
    </row>
    <row r="1822" spans="1:20" ht="17.25" customHeight="1">
      <c r="A1822"/>
      <c r="B1822"/>
      <c r="P1822"/>
      <c r="R1822"/>
      <c r="S1822"/>
      <c r="T1822"/>
    </row>
    <row r="1823" spans="1:20" ht="17.25" customHeight="1">
      <c r="A1823"/>
      <c r="B1823"/>
      <c r="P1823"/>
      <c r="R1823"/>
      <c r="S1823"/>
      <c r="T1823"/>
    </row>
    <row r="1824" spans="1:20" ht="17.25" customHeight="1">
      <c r="A1824"/>
      <c r="B1824"/>
      <c r="P1824"/>
      <c r="R1824"/>
      <c r="S1824"/>
      <c r="T1824"/>
    </row>
    <row r="1825" spans="1:20" ht="17.25" customHeight="1">
      <c r="A1825"/>
      <c r="B1825"/>
      <c r="P1825"/>
      <c r="R1825"/>
      <c r="S1825"/>
      <c r="T1825"/>
    </row>
    <row r="1826" spans="1:20" ht="17.25" customHeight="1">
      <c r="A1826"/>
      <c r="B1826"/>
      <c r="P1826"/>
      <c r="R1826"/>
      <c r="S1826"/>
      <c r="T1826"/>
    </row>
    <row r="1827" spans="1:20" ht="17.25" customHeight="1">
      <c r="A1827"/>
      <c r="B1827"/>
      <c r="P1827"/>
      <c r="R1827"/>
      <c r="S1827"/>
      <c r="T1827"/>
    </row>
    <row r="1828" spans="1:20" ht="17.25" customHeight="1">
      <c r="A1828"/>
      <c r="B1828"/>
      <c r="P1828"/>
      <c r="R1828"/>
      <c r="S1828"/>
      <c r="T1828"/>
    </row>
    <row r="1829" spans="1:20" ht="17.25" customHeight="1">
      <c r="A1829"/>
      <c r="B1829"/>
      <c r="P1829"/>
      <c r="R1829"/>
      <c r="S1829"/>
      <c r="T1829"/>
    </row>
    <row r="1830" spans="1:20" ht="17.25" customHeight="1">
      <c r="A1830"/>
      <c r="B1830"/>
      <c r="P1830"/>
      <c r="R1830"/>
      <c r="S1830"/>
      <c r="T1830"/>
    </row>
    <row r="1831" spans="1:20" ht="17.25" customHeight="1">
      <c r="A1831"/>
      <c r="B1831"/>
      <c r="P1831"/>
      <c r="R1831"/>
      <c r="S1831"/>
      <c r="T1831"/>
    </row>
    <row r="1832" spans="1:20" ht="17.25" customHeight="1">
      <c r="A1832"/>
      <c r="B1832"/>
      <c r="P1832"/>
      <c r="R1832"/>
      <c r="S1832"/>
      <c r="T1832"/>
    </row>
    <row r="1833" spans="1:20" ht="17.25" customHeight="1">
      <c r="A1833"/>
      <c r="B1833"/>
      <c r="P1833"/>
      <c r="R1833"/>
      <c r="S1833"/>
      <c r="T1833"/>
    </row>
    <row r="1834" spans="1:20" ht="17.25" customHeight="1">
      <c r="A1834"/>
      <c r="B1834"/>
      <c r="P1834"/>
      <c r="R1834"/>
      <c r="S1834"/>
      <c r="T1834"/>
    </row>
    <row r="1835" spans="1:20" ht="17.25" customHeight="1">
      <c r="A1835"/>
      <c r="B1835"/>
      <c r="P1835"/>
      <c r="R1835"/>
      <c r="S1835"/>
      <c r="T1835"/>
    </row>
    <row r="1836" spans="1:20" ht="17.25" customHeight="1">
      <c r="A1836"/>
      <c r="B1836"/>
      <c r="P1836"/>
      <c r="R1836"/>
      <c r="S1836"/>
      <c r="T1836"/>
    </row>
    <row r="1837" spans="1:20" ht="17.25" customHeight="1">
      <c r="A1837"/>
      <c r="B1837"/>
      <c r="P1837"/>
      <c r="R1837"/>
      <c r="S1837"/>
      <c r="T1837"/>
    </row>
    <row r="1838" spans="1:20" ht="17.25" customHeight="1">
      <c r="A1838"/>
      <c r="B1838"/>
      <c r="P1838"/>
      <c r="R1838"/>
      <c r="S1838"/>
      <c r="T1838"/>
    </row>
    <row r="1839" spans="1:20" ht="17.25" customHeight="1">
      <c r="A1839"/>
      <c r="B1839"/>
      <c r="P1839"/>
      <c r="R1839"/>
      <c r="S1839"/>
      <c r="T1839"/>
    </row>
    <row r="1840" spans="1:20" ht="17.25" customHeight="1">
      <c r="A1840"/>
      <c r="B1840"/>
      <c r="P1840"/>
      <c r="R1840"/>
      <c r="S1840"/>
      <c r="T1840"/>
    </row>
    <row r="1841" spans="1:20" ht="17.25" customHeight="1">
      <c r="A1841"/>
      <c r="B1841"/>
      <c r="P1841"/>
      <c r="R1841"/>
      <c r="S1841"/>
      <c r="T1841"/>
    </row>
    <row r="1842" spans="1:20" ht="17.25" customHeight="1">
      <c r="A1842"/>
      <c r="B1842"/>
      <c r="P1842"/>
      <c r="R1842"/>
      <c r="S1842"/>
      <c r="T1842"/>
    </row>
    <row r="1843" spans="1:20" ht="17.25" customHeight="1">
      <c r="A1843"/>
      <c r="B1843"/>
      <c r="P1843"/>
      <c r="R1843"/>
      <c r="S1843"/>
      <c r="T1843"/>
    </row>
    <row r="1844" spans="1:20" ht="17.25" customHeight="1">
      <c r="A1844"/>
      <c r="B1844"/>
      <c r="P1844"/>
      <c r="R1844"/>
      <c r="S1844"/>
      <c r="T1844"/>
    </row>
    <row r="1845" spans="1:20" ht="17.25" customHeight="1">
      <c r="A1845"/>
      <c r="B1845"/>
      <c r="P1845"/>
      <c r="R1845"/>
      <c r="S1845"/>
      <c r="T1845"/>
    </row>
    <row r="1846" spans="1:20" ht="17.25" customHeight="1">
      <c r="A1846"/>
      <c r="B1846"/>
      <c r="P1846"/>
      <c r="R1846"/>
      <c r="S1846"/>
      <c r="T1846"/>
    </row>
    <row r="1847" spans="1:20" ht="17.25" customHeight="1">
      <c r="A1847"/>
      <c r="B1847"/>
      <c r="P1847"/>
      <c r="R1847"/>
      <c r="S1847"/>
      <c r="T1847"/>
    </row>
    <row r="1848" spans="1:20" ht="17.25" customHeight="1">
      <c r="A1848"/>
      <c r="B1848"/>
      <c r="P1848"/>
      <c r="R1848"/>
      <c r="S1848"/>
      <c r="T1848"/>
    </row>
    <row r="1849" spans="1:20" ht="17.25" customHeight="1">
      <c r="A1849"/>
      <c r="B1849"/>
      <c r="P1849"/>
      <c r="R1849"/>
      <c r="S1849"/>
      <c r="T1849"/>
    </row>
    <row r="1850" spans="1:20" ht="17.25" customHeight="1">
      <c r="A1850"/>
      <c r="B1850"/>
      <c r="P1850"/>
      <c r="R1850"/>
      <c r="S1850"/>
      <c r="T1850"/>
    </row>
    <row r="1851" spans="1:20" ht="17.25" customHeight="1">
      <c r="A1851"/>
      <c r="B1851"/>
      <c r="P1851"/>
      <c r="R1851"/>
      <c r="S1851"/>
      <c r="T1851"/>
    </row>
    <row r="1852" spans="1:20" ht="17.25" customHeight="1">
      <c r="A1852"/>
      <c r="B1852"/>
      <c r="P1852"/>
      <c r="R1852"/>
      <c r="S1852"/>
      <c r="T1852"/>
    </row>
    <row r="1853" spans="1:20" ht="17.25" customHeight="1">
      <c r="A1853"/>
      <c r="B1853"/>
      <c r="P1853"/>
      <c r="R1853"/>
      <c r="S1853"/>
      <c r="T1853"/>
    </row>
    <row r="1854" spans="1:20" ht="17.25" customHeight="1">
      <c r="A1854"/>
      <c r="B1854"/>
      <c r="P1854"/>
      <c r="R1854"/>
      <c r="S1854"/>
      <c r="T1854"/>
    </row>
    <row r="1855" spans="1:20" ht="17.25" customHeight="1">
      <c r="A1855"/>
      <c r="B1855"/>
      <c r="P1855"/>
      <c r="R1855"/>
      <c r="S1855"/>
      <c r="T1855"/>
    </row>
    <row r="1856" spans="1:20" ht="17.25" customHeight="1">
      <c r="A1856"/>
      <c r="B1856"/>
      <c r="P1856"/>
      <c r="R1856"/>
      <c r="S1856"/>
      <c r="T1856"/>
    </row>
    <row r="1857" spans="1:20" ht="17.25" customHeight="1">
      <c r="A1857"/>
      <c r="B1857"/>
      <c r="P1857"/>
      <c r="R1857"/>
      <c r="S1857"/>
      <c r="T1857"/>
    </row>
    <row r="1858" spans="1:20" ht="17.25" customHeight="1">
      <c r="A1858"/>
      <c r="B1858"/>
      <c r="P1858"/>
      <c r="R1858"/>
      <c r="S1858"/>
      <c r="T1858"/>
    </row>
    <row r="1859" spans="1:20" ht="17.25" customHeight="1">
      <c r="A1859"/>
      <c r="B1859"/>
      <c r="P1859"/>
      <c r="R1859"/>
      <c r="S1859"/>
      <c r="T1859"/>
    </row>
    <row r="1860" spans="1:20" ht="17.25" customHeight="1">
      <c r="A1860"/>
      <c r="B1860"/>
      <c r="P1860"/>
      <c r="R1860"/>
      <c r="S1860"/>
      <c r="T1860"/>
    </row>
    <row r="1861" spans="1:20" ht="17.25" customHeight="1">
      <c r="A1861"/>
      <c r="B1861"/>
      <c r="P1861"/>
      <c r="R1861"/>
      <c r="S1861"/>
      <c r="T1861"/>
    </row>
    <row r="1862" spans="1:20" ht="17.25" customHeight="1">
      <c r="A1862"/>
      <c r="B1862"/>
      <c r="P1862"/>
      <c r="R1862"/>
      <c r="S1862"/>
      <c r="T1862"/>
    </row>
    <row r="1863" spans="1:20" ht="17.25" customHeight="1">
      <c r="A1863"/>
      <c r="B1863"/>
      <c r="P1863"/>
      <c r="R1863"/>
      <c r="S1863"/>
      <c r="T1863"/>
    </row>
    <row r="1864" spans="1:20" ht="17.25" customHeight="1">
      <c r="A1864"/>
      <c r="B1864"/>
      <c r="P1864"/>
      <c r="R1864"/>
      <c r="S1864"/>
      <c r="T1864"/>
    </row>
    <row r="1865" spans="1:20" ht="17.25" customHeight="1">
      <c r="A1865"/>
      <c r="B1865"/>
      <c r="P1865"/>
      <c r="R1865"/>
      <c r="S1865"/>
      <c r="T1865"/>
    </row>
    <row r="1866" spans="1:20" ht="17.25" customHeight="1">
      <c r="A1866"/>
      <c r="B1866"/>
      <c r="P1866"/>
      <c r="R1866"/>
      <c r="S1866"/>
      <c r="T1866"/>
    </row>
    <row r="1867" spans="1:20" ht="17.25" customHeight="1">
      <c r="A1867"/>
      <c r="B1867"/>
      <c r="P1867"/>
      <c r="R1867"/>
      <c r="S1867"/>
      <c r="T1867"/>
    </row>
    <row r="1868" spans="1:20" ht="17.25" customHeight="1">
      <c r="A1868"/>
      <c r="B1868"/>
      <c r="P1868"/>
      <c r="R1868"/>
      <c r="S1868"/>
      <c r="T1868"/>
    </row>
    <row r="1869" spans="1:20" ht="17.25" customHeight="1">
      <c r="A1869"/>
      <c r="B1869"/>
      <c r="P1869"/>
      <c r="R1869"/>
      <c r="S1869"/>
      <c r="T1869"/>
    </row>
    <row r="1870" spans="1:20" ht="17.25" customHeight="1">
      <c r="A1870"/>
      <c r="B1870"/>
      <c r="P1870"/>
      <c r="R1870"/>
      <c r="S1870"/>
      <c r="T1870"/>
    </row>
    <row r="1871" spans="1:20" ht="17.25" customHeight="1">
      <c r="A1871"/>
      <c r="B1871"/>
      <c r="P1871"/>
      <c r="R1871"/>
      <c r="S1871"/>
      <c r="T1871"/>
    </row>
    <row r="1872" spans="1:20" ht="17.25" customHeight="1">
      <c r="A1872"/>
      <c r="B1872"/>
      <c r="P1872"/>
      <c r="R1872"/>
      <c r="S1872"/>
      <c r="T1872"/>
    </row>
    <row r="1873" spans="1:20" ht="17.25" customHeight="1">
      <c r="A1873"/>
      <c r="B1873"/>
      <c r="P1873"/>
      <c r="R1873"/>
      <c r="S1873"/>
      <c r="T1873"/>
    </row>
    <row r="1874" spans="1:20" ht="17.25" customHeight="1">
      <c r="A1874"/>
      <c r="B1874"/>
      <c r="P1874"/>
      <c r="R1874"/>
      <c r="S1874"/>
      <c r="T1874"/>
    </row>
    <row r="1875" spans="1:20" ht="17.25" customHeight="1">
      <c r="A1875"/>
      <c r="B1875"/>
      <c r="P1875"/>
      <c r="R1875"/>
      <c r="S1875"/>
      <c r="T1875"/>
    </row>
    <row r="1876" spans="1:20" ht="17.25" customHeight="1">
      <c r="A1876"/>
      <c r="B1876"/>
      <c r="P1876"/>
      <c r="R1876"/>
      <c r="S1876"/>
      <c r="T1876"/>
    </row>
    <row r="1877" spans="1:20" ht="17.25" customHeight="1">
      <c r="A1877"/>
      <c r="B1877"/>
      <c r="P1877"/>
      <c r="R1877"/>
      <c r="S1877"/>
      <c r="T1877"/>
    </row>
    <row r="1878" spans="1:20" ht="17.25" customHeight="1">
      <c r="A1878"/>
      <c r="B1878"/>
      <c r="P1878"/>
      <c r="R1878"/>
      <c r="S1878"/>
      <c r="T1878"/>
    </row>
    <row r="1879" spans="1:20" ht="17.25" customHeight="1">
      <c r="A1879"/>
      <c r="B1879"/>
      <c r="P1879"/>
      <c r="R1879"/>
      <c r="S1879"/>
      <c r="T1879"/>
    </row>
    <row r="1880" spans="1:20" ht="17.25" customHeight="1">
      <c r="A1880"/>
      <c r="B1880"/>
      <c r="P1880"/>
      <c r="R1880"/>
      <c r="S1880"/>
      <c r="T1880"/>
    </row>
    <row r="1881" spans="1:20" ht="17.25" customHeight="1">
      <c r="A1881"/>
      <c r="B1881"/>
      <c r="P1881"/>
      <c r="R1881"/>
      <c r="S1881"/>
      <c r="T1881"/>
    </row>
    <row r="1882" spans="1:20" ht="17.25" customHeight="1">
      <c r="A1882"/>
      <c r="B1882"/>
      <c r="P1882"/>
      <c r="R1882"/>
      <c r="S1882"/>
      <c r="T1882"/>
    </row>
    <row r="1883" spans="1:20" ht="17.25" customHeight="1">
      <c r="A1883"/>
      <c r="B1883"/>
      <c r="P1883"/>
      <c r="R1883"/>
      <c r="S1883"/>
      <c r="T1883"/>
    </row>
    <row r="1884" spans="1:20" ht="17.25" customHeight="1">
      <c r="A1884"/>
      <c r="B1884"/>
      <c r="P1884"/>
      <c r="R1884"/>
      <c r="S1884"/>
      <c r="T1884"/>
    </row>
    <row r="1885" spans="1:20" ht="17.25" customHeight="1">
      <c r="A1885"/>
      <c r="B1885"/>
      <c r="P1885"/>
      <c r="R1885"/>
      <c r="S1885"/>
      <c r="T1885"/>
    </row>
    <row r="1886" spans="1:20" ht="17.25" customHeight="1">
      <c r="A1886"/>
      <c r="B1886"/>
      <c r="P1886"/>
      <c r="R1886"/>
      <c r="S1886"/>
      <c r="T1886"/>
    </row>
    <row r="1887" spans="1:20" ht="17.25" customHeight="1">
      <c r="A1887"/>
      <c r="B1887"/>
      <c r="P1887"/>
      <c r="R1887"/>
      <c r="S1887"/>
      <c r="T1887"/>
    </row>
    <row r="1888" spans="1:20" ht="17.25" customHeight="1">
      <c r="A1888"/>
      <c r="B1888"/>
      <c r="P1888"/>
      <c r="R1888"/>
      <c r="S1888"/>
      <c r="T1888"/>
    </row>
    <row r="1889" spans="1:20" ht="17.25" customHeight="1">
      <c r="A1889"/>
      <c r="B1889"/>
      <c r="P1889"/>
      <c r="R1889"/>
      <c r="S1889"/>
      <c r="T1889"/>
    </row>
    <row r="1890" spans="1:20" ht="17.25" customHeight="1">
      <c r="A1890"/>
      <c r="B1890"/>
      <c r="P1890"/>
      <c r="R1890"/>
      <c r="S1890"/>
      <c r="T1890"/>
    </row>
    <row r="1891" spans="1:20" ht="17.25" customHeight="1">
      <c r="A1891"/>
      <c r="B1891"/>
      <c r="P1891"/>
      <c r="R1891"/>
      <c r="S1891"/>
      <c r="T1891"/>
    </row>
    <row r="1892" spans="1:20" ht="17.25" customHeight="1">
      <c r="A1892"/>
      <c r="B1892"/>
      <c r="P1892"/>
      <c r="R1892"/>
      <c r="S1892"/>
      <c r="T1892"/>
    </row>
    <row r="1893" spans="1:20" ht="17.25" customHeight="1">
      <c r="A1893"/>
      <c r="B1893"/>
      <c r="P1893"/>
      <c r="R1893"/>
      <c r="S1893"/>
      <c r="T1893"/>
    </row>
    <row r="1894" spans="1:20" ht="17.25" customHeight="1">
      <c r="A1894"/>
      <c r="B1894"/>
      <c r="P1894"/>
      <c r="R1894"/>
      <c r="S1894"/>
      <c r="T1894"/>
    </row>
    <row r="1895" spans="1:20" ht="17.25" customHeight="1">
      <c r="A1895"/>
      <c r="B1895"/>
      <c r="P1895"/>
      <c r="R1895"/>
      <c r="S1895"/>
      <c r="T1895"/>
    </row>
    <row r="1896" spans="1:20" ht="17.25" customHeight="1">
      <c r="A1896"/>
      <c r="B1896"/>
      <c r="P1896"/>
      <c r="R1896"/>
      <c r="S1896"/>
      <c r="T1896"/>
    </row>
    <row r="1897" spans="1:20" ht="17.25" customHeight="1">
      <c r="A1897"/>
      <c r="B1897"/>
      <c r="P1897"/>
      <c r="R1897"/>
      <c r="S1897"/>
      <c r="T1897"/>
    </row>
    <row r="1898" spans="1:20" ht="17.25" customHeight="1">
      <c r="A1898"/>
      <c r="B1898"/>
      <c r="P1898"/>
      <c r="R1898"/>
      <c r="S1898"/>
      <c r="T1898"/>
    </row>
    <row r="1899" spans="1:20" ht="17.25" customHeight="1">
      <c r="A1899"/>
      <c r="B1899"/>
      <c r="P1899"/>
      <c r="R1899"/>
      <c r="S1899"/>
      <c r="T1899"/>
    </row>
    <row r="1900" spans="1:20" ht="17.25" customHeight="1">
      <c r="A1900"/>
      <c r="B1900"/>
      <c r="P1900"/>
      <c r="R1900"/>
      <c r="S1900"/>
      <c r="T1900"/>
    </row>
    <row r="1901" spans="1:20" ht="17.25" customHeight="1">
      <c r="A1901"/>
      <c r="B1901"/>
      <c r="P1901"/>
      <c r="R1901"/>
      <c r="S1901"/>
      <c r="T1901"/>
    </row>
    <row r="1902" spans="1:20" ht="17.25" customHeight="1">
      <c r="A1902"/>
      <c r="B1902"/>
      <c r="P1902"/>
      <c r="R1902"/>
      <c r="S1902"/>
      <c r="T1902"/>
    </row>
    <row r="1903" spans="1:20" ht="17.25" customHeight="1">
      <c r="A1903"/>
      <c r="B1903"/>
      <c r="P1903"/>
      <c r="R1903"/>
      <c r="S1903"/>
      <c r="T1903"/>
    </row>
    <row r="1904" spans="1:20" ht="17.25" customHeight="1">
      <c r="A1904"/>
      <c r="B1904"/>
      <c r="P1904"/>
      <c r="R1904"/>
      <c r="S1904"/>
      <c r="T1904"/>
    </row>
    <row r="1905" spans="1:20" ht="17.25" customHeight="1">
      <c r="A1905"/>
      <c r="B1905"/>
      <c r="P1905"/>
      <c r="R1905"/>
      <c r="S1905"/>
      <c r="T1905"/>
    </row>
    <row r="1906" spans="1:20" ht="17.25" customHeight="1">
      <c r="A1906"/>
      <c r="B1906"/>
      <c r="P1906"/>
      <c r="R1906"/>
      <c r="S1906"/>
      <c r="T1906"/>
    </row>
    <row r="1907" spans="1:20" ht="17.25" customHeight="1">
      <c r="A1907"/>
      <c r="B1907"/>
      <c r="P1907"/>
      <c r="R1907"/>
      <c r="S1907"/>
      <c r="T1907"/>
    </row>
    <row r="1908" spans="1:20" ht="17.25" customHeight="1">
      <c r="A1908"/>
      <c r="B1908"/>
      <c r="P1908"/>
      <c r="R1908"/>
      <c r="S1908"/>
      <c r="T1908"/>
    </row>
    <row r="1909" spans="1:20" ht="17.25" customHeight="1">
      <c r="A1909"/>
      <c r="B1909"/>
      <c r="P1909"/>
      <c r="R1909"/>
      <c r="S1909"/>
      <c r="T1909"/>
    </row>
    <row r="1910" spans="1:20" ht="17.25" customHeight="1">
      <c r="A1910"/>
      <c r="B1910"/>
      <c r="P1910"/>
      <c r="R1910"/>
      <c r="S1910"/>
      <c r="T1910"/>
    </row>
    <row r="1911" spans="1:20" ht="17.25" customHeight="1">
      <c r="A1911"/>
      <c r="B1911"/>
      <c r="P1911"/>
      <c r="R1911"/>
      <c r="S1911"/>
      <c r="T1911"/>
    </row>
    <row r="1912" spans="1:20" ht="17.25" customHeight="1">
      <c r="A1912"/>
      <c r="B1912"/>
      <c r="P1912"/>
      <c r="R1912"/>
      <c r="S1912"/>
      <c r="T1912"/>
    </row>
    <row r="1913" spans="1:20" ht="17.25" customHeight="1">
      <c r="A1913"/>
      <c r="B1913"/>
      <c r="P1913"/>
      <c r="R1913"/>
      <c r="S1913"/>
      <c r="T1913"/>
    </row>
    <row r="1914" spans="1:20" ht="17.25" customHeight="1">
      <c r="A1914"/>
      <c r="B1914"/>
      <c r="P1914"/>
      <c r="R1914"/>
      <c r="S1914"/>
      <c r="T1914"/>
    </row>
    <row r="1915" spans="1:20" ht="17.25" customHeight="1">
      <c r="A1915"/>
      <c r="B1915"/>
      <c r="P1915"/>
      <c r="R1915"/>
      <c r="S1915"/>
      <c r="T1915"/>
    </row>
    <row r="1916" spans="1:20" ht="17.25" customHeight="1">
      <c r="A1916"/>
      <c r="B1916"/>
      <c r="P1916"/>
      <c r="R1916"/>
      <c r="S1916"/>
      <c r="T1916"/>
    </row>
    <row r="1917" spans="1:20" ht="17.25" customHeight="1">
      <c r="A1917"/>
      <c r="B1917"/>
      <c r="P1917"/>
      <c r="R1917"/>
      <c r="S1917"/>
      <c r="T1917"/>
    </row>
    <row r="1918" spans="1:20" ht="17.25" customHeight="1">
      <c r="A1918"/>
      <c r="B1918"/>
      <c r="P1918"/>
      <c r="R1918"/>
      <c r="S1918"/>
      <c r="T1918"/>
    </row>
    <row r="1919" spans="1:20" ht="17.25" customHeight="1">
      <c r="A1919"/>
      <c r="B1919"/>
      <c r="P1919"/>
      <c r="R1919"/>
      <c r="S1919"/>
      <c r="T1919"/>
    </row>
    <row r="1920" spans="1:20" ht="17.25" customHeight="1">
      <c r="A1920"/>
      <c r="B1920"/>
      <c r="P1920"/>
      <c r="R1920"/>
      <c r="S1920"/>
      <c r="T1920"/>
    </row>
    <row r="1921" spans="1:20" ht="17.25" customHeight="1">
      <c r="A1921"/>
      <c r="B1921"/>
      <c r="P1921"/>
      <c r="R1921"/>
      <c r="S1921"/>
      <c r="T1921"/>
    </row>
    <row r="1922" spans="1:20" ht="17.25" customHeight="1">
      <c r="A1922"/>
      <c r="B1922"/>
      <c r="P1922"/>
      <c r="R1922"/>
      <c r="S1922"/>
      <c r="T1922"/>
    </row>
    <row r="1923" spans="1:20" ht="17.25" customHeight="1">
      <c r="A1923"/>
      <c r="B1923"/>
      <c r="P1923"/>
      <c r="R1923"/>
      <c r="S1923"/>
      <c r="T1923"/>
    </row>
    <row r="1924" spans="1:20" ht="17.25" customHeight="1">
      <c r="A1924"/>
      <c r="B1924"/>
      <c r="P1924"/>
      <c r="R1924"/>
      <c r="S1924"/>
      <c r="T1924"/>
    </row>
    <row r="1925" spans="1:20" ht="17.25" customHeight="1">
      <c r="A1925"/>
      <c r="B1925"/>
      <c r="P1925"/>
      <c r="R1925"/>
      <c r="S1925"/>
      <c r="T1925"/>
    </row>
    <row r="1926" spans="1:20" ht="17.25" customHeight="1">
      <c r="A1926"/>
      <c r="B1926"/>
      <c r="P1926"/>
      <c r="R1926"/>
      <c r="S1926"/>
      <c r="T1926"/>
    </row>
    <row r="1927" spans="1:20" ht="17.25" customHeight="1">
      <c r="A1927"/>
      <c r="B1927"/>
      <c r="P1927"/>
      <c r="R1927"/>
      <c r="S1927"/>
      <c r="T1927"/>
    </row>
    <row r="1928" spans="1:20" ht="17.25" customHeight="1">
      <c r="A1928"/>
      <c r="B1928"/>
      <c r="P1928"/>
      <c r="R1928"/>
      <c r="S1928"/>
      <c r="T1928"/>
    </row>
    <row r="1929" spans="1:20" ht="17.25" customHeight="1">
      <c r="A1929"/>
      <c r="B1929"/>
      <c r="P1929"/>
      <c r="R1929"/>
      <c r="S1929"/>
      <c r="T1929"/>
    </row>
    <row r="1930" spans="1:20" ht="17.25" customHeight="1">
      <c r="A1930"/>
      <c r="B1930"/>
      <c r="P1930"/>
      <c r="R1930"/>
      <c r="S1930"/>
      <c r="T1930"/>
    </row>
    <row r="1931" spans="1:20" ht="17.25" customHeight="1">
      <c r="A1931"/>
      <c r="B1931"/>
      <c r="P1931"/>
      <c r="R1931"/>
      <c r="S1931"/>
      <c r="T1931"/>
    </row>
    <row r="1932" spans="1:20" ht="17.25" customHeight="1">
      <c r="A1932"/>
      <c r="B1932"/>
      <c r="P1932"/>
      <c r="R1932"/>
      <c r="S1932"/>
      <c r="T1932"/>
    </row>
    <row r="1933" spans="1:20" ht="17.25" customHeight="1">
      <c r="A1933"/>
      <c r="B1933"/>
      <c r="P1933"/>
      <c r="R1933"/>
      <c r="S1933"/>
      <c r="T1933"/>
    </row>
    <row r="1934" spans="1:20" ht="17.25" customHeight="1">
      <c r="A1934"/>
      <c r="B1934"/>
      <c r="P1934"/>
      <c r="R1934"/>
      <c r="S1934"/>
      <c r="T1934"/>
    </row>
    <row r="1935" spans="1:20" ht="17.25" customHeight="1">
      <c r="A1935"/>
      <c r="B1935"/>
      <c r="P1935"/>
      <c r="R1935"/>
      <c r="S1935"/>
      <c r="T1935"/>
    </row>
    <row r="1936" spans="1:20" ht="17.25" customHeight="1">
      <c r="A1936"/>
      <c r="B1936"/>
      <c r="P1936"/>
      <c r="R1936"/>
      <c r="S1936"/>
      <c r="T1936"/>
    </row>
    <row r="1937" spans="1:20" ht="17.25" customHeight="1">
      <c r="A1937"/>
      <c r="B1937"/>
      <c r="P1937"/>
      <c r="R1937"/>
      <c r="S1937"/>
      <c r="T1937"/>
    </row>
    <row r="1938" spans="1:20" ht="17.25" customHeight="1">
      <c r="A1938"/>
      <c r="B1938"/>
      <c r="P1938"/>
      <c r="R1938"/>
      <c r="S1938"/>
      <c r="T1938"/>
    </row>
    <row r="1939" spans="1:20" ht="17.25" customHeight="1">
      <c r="A1939"/>
      <c r="B1939"/>
      <c r="P1939"/>
      <c r="R1939"/>
      <c r="S1939"/>
      <c r="T1939"/>
    </row>
    <row r="1940" spans="1:20" ht="17.25" customHeight="1">
      <c r="A1940"/>
      <c r="B1940"/>
      <c r="P1940"/>
      <c r="R1940"/>
      <c r="S1940"/>
      <c r="T1940"/>
    </row>
    <row r="1941" spans="1:20" ht="17.25" customHeight="1">
      <c r="A1941"/>
      <c r="B1941"/>
      <c r="P1941"/>
      <c r="R1941"/>
      <c r="S1941"/>
      <c r="T1941"/>
    </row>
    <row r="1942" spans="1:20" ht="17.25" customHeight="1">
      <c r="A1942"/>
      <c r="B1942"/>
      <c r="P1942"/>
      <c r="R1942"/>
      <c r="S1942"/>
      <c r="T1942"/>
    </row>
    <row r="1943" spans="1:20" ht="17.25" customHeight="1">
      <c r="A1943"/>
      <c r="B1943"/>
      <c r="P1943"/>
      <c r="R1943"/>
      <c r="S1943"/>
      <c r="T1943"/>
    </row>
    <row r="1944" spans="1:20" ht="17.25" customHeight="1">
      <c r="A1944"/>
      <c r="B1944"/>
      <c r="P1944"/>
      <c r="R1944"/>
      <c r="S1944"/>
      <c r="T1944"/>
    </row>
    <row r="1945" spans="1:20" ht="17.25" customHeight="1">
      <c r="A1945"/>
      <c r="B1945"/>
      <c r="P1945"/>
      <c r="R1945"/>
      <c r="S1945"/>
      <c r="T1945"/>
    </row>
    <row r="1946" spans="1:20" ht="17.25" customHeight="1">
      <c r="A1946"/>
      <c r="B1946"/>
      <c r="P1946"/>
      <c r="R1946"/>
      <c r="S1946"/>
      <c r="T1946"/>
    </row>
    <row r="1947" spans="1:20" ht="17.25" customHeight="1">
      <c r="A1947"/>
      <c r="B1947"/>
      <c r="P1947"/>
      <c r="R1947"/>
      <c r="S1947"/>
      <c r="T1947"/>
    </row>
    <row r="1948" spans="1:20" ht="17.25" customHeight="1">
      <c r="A1948"/>
      <c r="B1948"/>
      <c r="P1948"/>
      <c r="R1948"/>
      <c r="S1948"/>
      <c r="T1948"/>
    </row>
    <row r="1949" spans="1:20" ht="17.25" customHeight="1">
      <c r="A1949"/>
      <c r="B1949"/>
      <c r="P1949"/>
      <c r="R1949"/>
      <c r="S1949"/>
      <c r="T1949"/>
    </row>
    <row r="1950" spans="1:20" ht="17.25" customHeight="1">
      <c r="A1950"/>
      <c r="B1950"/>
      <c r="P1950"/>
      <c r="R1950"/>
      <c r="S1950"/>
      <c r="T1950"/>
    </row>
    <row r="1951" spans="1:20" ht="17.25" customHeight="1">
      <c r="A1951"/>
      <c r="B1951"/>
      <c r="P1951"/>
      <c r="R1951"/>
      <c r="S1951"/>
      <c r="T1951"/>
    </row>
    <row r="1952" spans="1:20" ht="17.25" customHeight="1">
      <c r="A1952"/>
      <c r="B1952"/>
      <c r="P1952"/>
      <c r="R1952"/>
      <c r="S1952"/>
      <c r="T1952"/>
    </row>
    <row r="1953" spans="1:20" ht="17.25" customHeight="1">
      <c r="A1953"/>
      <c r="B1953"/>
      <c r="P1953"/>
      <c r="R1953"/>
      <c r="S1953"/>
      <c r="T1953"/>
    </row>
    <row r="1954" spans="1:20" ht="17.25" customHeight="1">
      <c r="A1954"/>
      <c r="B1954"/>
      <c r="P1954"/>
      <c r="R1954"/>
      <c r="S1954"/>
      <c r="T1954"/>
    </row>
    <row r="1955" spans="1:20" ht="17.25" customHeight="1">
      <c r="A1955"/>
      <c r="B1955"/>
      <c r="P1955"/>
      <c r="R1955"/>
      <c r="S1955"/>
      <c r="T1955"/>
    </row>
    <row r="1956" spans="1:20" ht="17.25" customHeight="1">
      <c r="A1956"/>
      <c r="B1956"/>
      <c r="P1956"/>
      <c r="R1956"/>
      <c r="S1956"/>
      <c r="T1956"/>
    </row>
    <row r="1957" spans="1:20" ht="17.25" customHeight="1">
      <c r="A1957"/>
      <c r="B1957"/>
      <c r="P1957"/>
      <c r="R1957"/>
      <c r="S1957"/>
      <c r="T1957"/>
    </row>
    <row r="1958" spans="1:20" ht="17.25" customHeight="1">
      <c r="A1958"/>
      <c r="B1958"/>
      <c r="P1958"/>
      <c r="R1958"/>
      <c r="S1958"/>
      <c r="T1958"/>
    </row>
    <row r="1959" spans="1:20" ht="17.25" customHeight="1">
      <c r="A1959"/>
      <c r="B1959"/>
      <c r="P1959"/>
      <c r="R1959"/>
      <c r="S1959"/>
      <c r="T1959"/>
    </row>
    <row r="1960" spans="1:20" ht="17.25" customHeight="1">
      <c r="A1960"/>
      <c r="B1960"/>
      <c r="P1960"/>
      <c r="R1960"/>
      <c r="S1960"/>
      <c r="T1960"/>
    </row>
    <row r="1961" spans="1:20" ht="17.25" customHeight="1">
      <c r="A1961"/>
      <c r="B1961"/>
      <c r="P1961"/>
      <c r="R1961"/>
      <c r="S1961"/>
      <c r="T1961"/>
    </row>
    <row r="1962" spans="1:20" ht="17.25" customHeight="1">
      <c r="A1962"/>
      <c r="B1962"/>
      <c r="P1962"/>
      <c r="R1962"/>
      <c r="S1962"/>
      <c r="T1962"/>
    </row>
    <row r="1963" spans="1:20" ht="17.25" customHeight="1">
      <c r="A1963"/>
      <c r="B1963"/>
      <c r="P1963"/>
      <c r="R1963"/>
      <c r="S1963"/>
      <c r="T1963"/>
    </row>
    <row r="1964" spans="1:20" ht="17.25" customHeight="1">
      <c r="A1964"/>
      <c r="B1964"/>
      <c r="P1964"/>
      <c r="R1964"/>
      <c r="S1964"/>
      <c r="T1964"/>
    </row>
    <row r="1965" spans="1:20" ht="17.25" customHeight="1">
      <c r="A1965"/>
      <c r="B1965"/>
      <c r="P1965"/>
      <c r="R1965"/>
      <c r="S1965"/>
      <c r="T1965"/>
    </row>
    <row r="1966" spans="1:20" ht="17.25" customHeight="1">
      <c r="A1966"/>
      <c r="B1966"/>
      <c r="P1966"/>
      <c r="R1966"/>
      <c r="S1966"/>
      <c r="T1966"/>
    </row>
    <row r="1967" spans="1:20" ht="17.25" customHeight="1">
      <c r="A1967"/>
      <c r="B1967"/>
      <c r="P1967"/>
      <c r="R1967"/>
      <c r="S1967"/>
      <c r="T1967"/>
    </row>
    <row r="1968" spans="1:20" ht="17.25" customHeight="1">
      <c r="A1968"/>
      <c r="B1968"/>
      <c r="P1968"/>
      <c r="R1968"/>
      <c r="S1968"/>
      <c r="T1968"/>
    </row>
    <row r="1969" spans="1:20" ht="17.25" customHeight="1">
      <c r="A1969"/>
      <c r="B1969"/>
      <c r="P1969"/>
      <c r="R1969"/>
      <c r="S1969"/>
      <c r="T1969"/>
    </row>
    <row r="1970" spans="1:20" ht="17.25" customHeight="1">
      <c r="A1970"/>
      <c r="B1970"/>
      <c r="P1970"/>
      <c r="R1970"/>
      <c r="S1970"/>
      <c r="T1970"/>
    </row>
    <row r="1971" spans="1:20" ht="17.25" customHeight="1">
      <c r="A1971"/>
      <c r="B1971"/>
      <c r="P1971"/>
      <c r="R1971"/>
      <c r="S1971"/>
      <c r="T1971"/>
    </row>
    <row r="1972" spans="1:20" ht="17.25" customHeight="1">
      <c r="A1972"/>
      <c r="B1972"/>
      <c r="P1972"/>
      <c r="R1972"/>
      <c r="S1972"/>
      <c r="T1972"/>
    </row>
    <row r="1973" spans="1:20" ht="17.25" customHeight="1">
      <c r="A1973"/>
      <c r="B1973"/>
      <c r="P1973"/>
      <c r="R1973"/>
      <c r="S1973"/>
      <c r="T1973"/>
    </row>
    <row r="1974" spans="1:20" ht="17.25" customHeight="1">
      <c r="A1974"/>
      <c r="B1974"/>
      <c r="P1974"/>
      <c r="R1974"/>
      <c r="S1974"/>
      <c r="T1974"/>
    </row>
    <row r="1975" spans="1:20" ht="17.25" customHeight="1">
      <c r="A1975"/>
      <c r="B1975"/>
      <c r="P1975"/>
      <c r="R1975"/>
      <c r="S1975"/>
      <c r="T1975"/>
    </row>
    <row r="1976" spans="1:20" ht="17.25" customHeight="1">
      <c r="A1976"/>
      <c r="B1976"/>
      <c r="P1976"/>
      <c r="R1976"/>
      <c r="S1976"/>
      <c r="T1976"/>
    </row>
    <row r="1977" spans="1:20" ht="17.25" customHeight="1">
      <c r="A1977"/>
      <c r="B1977"/>
      <c r="P1977"/>
      <c r="R1977"/>
      <c r="S1977"/>
      <c r="T1977"/>
    </row>
    <row r="1978" spans="1:20" ht="17.25" customHeight="1">
      <c r="A1978"/>
      <c r="B1978"/>
      <c r="P1978"/>
      <c r="R1978"/>
      <c r="S1978"/>
      <c r="T1978"/>
    </row>
    <row r="1979" spans="1:20" ht="17.25" customHeight="1">
      <c r="A1979"/>
      <c r="B1979"/>
      <c r="P1979"/>
      <c r="R1979"/>
      <c r="S1979"/>
      <c r="T1979"/>
    </row>
    <row r="1980" spans="1:20" ht="17.25" customHeight="1">
      <c r="A1980"/>
      <c r="B1980"/>
      <c r="P1980"/>
      <c r="R1980"/>
      <c r="S1980"/>
      <c r="T1980"/>
    </row>
    <row r="1981" spans="1:20" ht="17.25" customHeight="1">
      <c r="A1981"/>
      <c r="B1981"/>
      <c r="P1981"/>
      <c r="R1981"/>
      <c r="S1981"/>
      <c r="T1981"/>
    </row>
    <row r="1982" spans="1:20" ht="17.25" customHeight="1">
      <c r="A1982"/>
      <c r="B1982"/>
      <c r="P1982"/>
      <c r="R1982"/>
      <c r="S1982"/>
      <c r="T1982"/>
    </row>
    <row r="1983" spans="1:20" ht="17.25" customHeight="1">
      <c r="A1983"/>
      <c r="B1983"/>
      <c r="P1983"/>
      <c r="R1983"/>
      <c r="S1983"/>
      <c r="T1983"/>
    </row>
    <row r="1984" spans="1:20" ht="17.25" customHeight="1">
      <c r="A1984"/>
      <c r="B1984"/>
      <c r="P1984"/>
      <c r="R1984"/>
      <c r="S1984"/>
      <c r="T1984"/>
    </row>
    <row r="1985" spans="1:20" ht="17.25" customHeight="1">
      <c r="A1985"/>
      <c r="B1985"/>
      <c r="P1985"/>
      <c r="R1985"/>
      <c r="S1985"/>
      <c r="T1985"/>
    </row>
    <row r="1986" spans="1:20" ht="17.25" customHeight="1">
      <c r="A1986"/>
      <c r="B1986"/>
      <c r="P1986"/>
      <c r="R1986"/>
      <c r="S1986"/>
      <c r="T1986"/>
    </row>
    <row r="1987" spans="1:20" ht="17.25" customHeight="1">
      <c r="A1987"/>
      <c r="B1987"/>
      <c r="P1987"/>
      <c r="R1987"/>
      <c r="S1987"/>
      <c r="T1987"/>
    </row>
    <row r="1988" spans="1:20" ht="17.25" customHeight="1">
      <c r="A1988"/>
      <c r="B1988"/>
      <c r="P1988"/>
      <c r="R1988"/>
      <c r="S1988"/>
      <c r="T1988"/>
    </row>
    <row r="1989" spans="1:20" ht="17.25" customHeight="1">
      <c r="A1989"/>
      <c r="B1989"/>
      <c r="P1989"/>
      <c r="R1989"/>
      <c r="S1989"/>
      <c r="T1989"/>
    </row>
    <row r="1990" spans="1:20" ht="17.25" customHeight="1">
      <c r="A1990"/>
      <c r="B1990"/>
      <c r="P1990"/>
      <c r="R1990"/>
      <c r="S1990"/>
      <c r="T1990"/>
    </row>
    <row r="1991" spans="1:20" ht="17.25" customHeight="1">
      <c r="A1991"/>
      <c r="B1991"/>
      <c r="P1991"/>
      <c r="R1991"/>
      <c r="S1991"/>
      <c r="T1991"/>
    </row>
    <row r="1992" spans="1:20" ht="17.25" customHeight="1">
      <c r="A1992"/>
      <c r="B1992"/>
      <c r="P1992"/>
      <c r="R1992"/>
      <c r="S1992"/>
      <c r="T1992"/>
    </row>
    <row r="1993" spans="1:20" ht="17.25" customHeight="1">
      <c r="A1993"/>
      <c r="B1993"/>
      <c r="P1993"/>
      <c r="R1993"/>
      <c r="S1993"/>
      <c r="T1993"/>
    </row>
    <row r="1994" spans="1:20" ht="17.25" customHeight="1">
      <c r="A1994"/>
      <c r="B1994"/>
      <c r="P1994"/>
      <c r="R1994"/>
      <c r="S1994"/>
      <c r="T1994"/>
    </row>
    <row r="1995" spans="1:20" ht="17.25" customHeight="1">
      <c r="A1995"/>
      <c r="B1995"/>
      <c r="P1995"/>
      <c r="R1995"/>
      <c r="S1995"/>
      <c r="T1995"/>
    </row>
    <row r="1996" spans="1:20" ht="17.25" customHeight="1">
      <c r="A1996"/>
      <c r="B1996"/>
      <c r="P1996"/>
      <c r="R1996"/>
      <c r="S1996"/>
      <c r="T1996"/>
    </row>
    <row r="1997" spans="1:20" ht="17.25" customHeight="1">
      <c r="A1997"/>
      <c r="B1997"/>
      <c r="P1997"/>
      <c r="R1997"/>
      <c r="S1997"/>
      <c r="T1997"/>
    </row>
    <row r="1998" spans="1:20" ht="17.25" customHeight="1">
      <c r="A1998"/>
      <c r="B1998"/>
      <c r="P1998"/>
      <c r="R1998"/>
      <c r="S1998"/>
      <c r="T1998"/>
    </row>
    <row r="1999" spans="1:20" ht="17.25" customHeight="1">
      <c r="A1999"/>
      <c r="B1999"/>
      <c r="P1999"/>
      <c r="R1999"/>
      <c r="S1999"/>
      <c r="T1999"/>
    </row>
    <row r="2000" spans="1:20" ht="17.25" customHeight="1">
      <c r="A2000"/>
      <c r="B2000"/>
      <c r="P2000"/>
      <c r="R2000"/>
      <c r="S2000"/>
      <c r="T2000"/>
    </row>
    <row r="2001" spans="1:20" ht="17.25" customHeight="1">
      <c r="A2001"/>
      <c r="B2001"/>
      <c r="P2001"/>
      <c r="R2001"/>
      <c r="S2001"/>
      <c r="T2001"/>
    </row>
    <row r="2002" spans="1:20" ht="17.25" customHeight="1">
      <c r="A2002"/>
      <c r="B2002"/>
      <c r="P2002"/>
      <c r="R2002"/>
      <c r="S2002"/>
      <c r="T2002"/>
    </row>
    <row r="2003" spans="1:20" ht="17.25" customHeight="1">
      <c r="A2003"/>
      <c r="B2003"/>
      <c r="P2003"/>
      <c r="R2003"/>
      <c r="S2003"/>
      <c r="T2003"/>
    </row>
    <row r="2004" spans="1:20" ht="17.25" customHeight="1">
      <c r="A2004"/>
      <c r="B2004"/>
      <c r="P2004"/>
      <c r="R2004"/>
      <c r="S2004"/>
      <c r="T2004"/>
    </row>
    <row r="2005" spans="1:20" ht="17.25" customHeight="1">
      <c r="A2005"/>
      <c r="B2005"/>
      <c r="P2005"/>
      <c r="R2005"/>
      <c r="S2005"/>
      <c r="T2005"/>
    </row>
    <row r="2006" spans="1:20" ht="17.25" customHeight="1">
      <c r="A2006"/>
      <c r="B2006"/>
      <c r="P2006"/>
      <c r="R2006"/>
      <c r="S2006"/>
      <c r="T2006"/>
    </row>
    <row r="2007" spans="1:20" ht="17.25" customHeight="1">
      <c r="A2007"/>
      <c r="B2007"/>
      <c r="P2007"/>
      <c r="R2007"/>
      <c r="S2007"/>
      <c r="T2007"/>
    </row>
    <row r="2008" spans="1:20" ht="17.25" customHeight="1">
      <c r="A2008"/>
      <c r="B2008"/>
      <c r="P2008"/>
      <c r="R2008"/>
      <c r="S2008"/>
      <c r="T2008"/>
    </row>
    <row r="2009" spans="1:20" ht="17.25" customHeight="1">
      <c r="A2009"/>
      <c r="B2009"/>
      <c r="P2009"/>
      <c r="R2009"/>
      <c r="S2009"/>
      <c r="T2009"/>
    </row>
    <row r="2010" spans="1:20" ht="17.25" customHeight="1">
      <c r="A2010"/>
      <c r="B2010"/>
      <c r="P2010"/>
      <c r="R2010"/>
      <c r="S2010"/>
      <c r="T2010"/>
    </row>
    <row r="2011" spans="1:20" ht="17.25" customHeight="1">
      <c r="A2011"/>
      <c r="B2011"/>
      <c r="P2011"/>
      <c r="R2011"/>
      <c r="S2011"/>
      <c r="T2011"/>
    </row>
    <row r="2012" spans="1:20" ht="17.25" customHeight="1">
      <c r="A2012"/>
      <c r="B2012"/>
      <c r="P2012"/>
      <c r="R2012"/>
      <c r="S2012"/>
      <c r="T2012"/>
    </row>
    <row r="2013" spans="1:20" ht="17.25" customHeight="1">
      <c r="A2013"/>
      <c r="B2013"/>
      <c r="P2013"/>
      <c r="R2013"/>
      <c r="S2013"/>
      <c r="T2013"/>
    </row>
    <row r="2014" spans="1:20" ht="17.25" customHeight="1">
      <c r="A2014"/>
      <c r="B2014"/>
      <c r="P2014"/>
      <c r="R2014"/>
      <c r="S2014"/>
      <c r="T2014"/>
    </row>
    <row r="2015" spans="1:20" ht="17.25" customHeight="1">
      <c r="A2015"/>
      <c r="B2015"/>
      <c r="P2015"/>
      <c r="R2015"/>
      <c r="S2015"/>
      <c r="T2015"/>
    </row>
    <row r="2016" spans="1:20" ht="17.25" customHeight="1">
      <c r="A2016"/>
      <c r="B2016"/>
      <c r="P2016"/>
      <c r="R2016"/>
      <c r="S2016"/>
      <c r="T2016"/>
    </row>
    <row r="2017" spans="1:20" ht="17.25" customHeight="1">
      <c r="A2017"/>
      <c r="B2017"/>
      <c r="P2017"/>
      <c r="R2017"/>
      <c r="S2017"/>
      <c r="T2017"/>
    </row>
    <row r="2018" spans="1:20" ht="17.25" customHeight="1">
      <c r="A2018"/>
      <c r="B2018"/>
      <c r="P2018"/>
      <c r="R2018"/>
      <c r="S2018"/>
      <c r="T2018"/>
    </row>
    <row r="2019" spans="1:20" ht="17.25" customHeight="1">
      <c r="A2019"/>
      <c r="B2019"/>
      <c r="P2019"/>
      <c r="R2019"/>
      <c r="S2019"/>
      <c r="T2019"/>
    </row>
    <row r="2020" spans="1:20" ht="17.25" customHeight="1">
      <c r="A2020"/>
      <c r="B2020"/>
      <c r="P2020"/>
      <c r="R2020"/>
      <c r="S2020"/>
      <c r="T2020"/>
    </row>
    <row r="2021" spans="1:20" ht="17.25" customHeight="1">
      <c r="A2021"/>
      <c r="B2021"/>
      <c r="P2021"/>
      <c r="R2021"/>
      <c r="S2021"/>
      <c r="T2021"/>
    </row>
    <row r="2022" spans="1:20" ht="17.25" customHeight="1">
      <c r="A2022"/>
      <c r="B2022"/>
      <c r="P2022"/>
      <c r="R2022"/>
      <c r="S2022"/>
      <c r="T2022"/>
    </row>
    <row r="2023" spans="1:20" ht="17.25" customHeight="1">
      <c r="A2023"/>
      <c r="B2023"/>
      <c r="P2023"/>
      <c r="R2023"/>
      <c r="S2023"/>
      <c r="T2023"/>
    </row>
    <row r="2024" spans="1:20" ht="17.25" customHeight="1">
      <c r="A2024"/>
      <c r="B2024"/>
      <c r="P2024"/>
      <c r="R2024"/>
      <c r="S2024"/>
      <c r="T2024"/>
    </row>
    <row r="2025" spans="1:20" ht="17.25" customHeight="1">
      <c r="A2025"/>
      <c r="B2025"/>
      <c r="P2025"/>
      <c r="R2025"/>
      <c r="S2025"/>
      <c r="T2025"/>
    </row>
    <row r="2026" spans="1:20" ht="17.25" customHeight="1">
      <c r="A2026"/>
      <c r="B2026"/>
      <c r="P2026"/>
      <c r="R2026"/>
      <c r="S2026"/>
      <c r="T2026"/>
    </row>
    <row r="2027" spans="1:20" ht="17.25" customHeight="1">
      <c r="A2027"/>
      <c r="B2027"/>
      <c r="P2027"/>
      <c r="R2027"/>
      <c r="S2027"/>
      <c r="T2027"/>
    </row>
    <row r="2028" spans="1:20" ht="17.25" customHeight="1">
      <c r="A2028"/>
      <c r="B2028"/>
      <c r="P2028"/>
      <c r="R2028"/>
      <c r="S2028"/>
      <c r="T2028"/>
    </row>
    <row r="2029" spans="1:20" ht="17.25" customHeight="1">
      <c r="A2029"/>
      <c r="B2029"/>
      <c r="P2029"/>
      <c r="R2029"/>
      <c r="S2029"/>
      <c r="T2029"/>
    </row>
    <row r="2030" spans="1:20" ht="17.25" customHeight="1">
      <c r="A2030"/>
      <c r="B2030"/>
      <c r="P2030"/>
      <c r="R2030"/>
      <c r="S2030"/>
      <c r="T2030"/>
    </row>
    <row r="2031" spans="1:20" ht="17.25" customHeight="1">
      <c r="A2031"/>
      <c r="B2031"/>
      <c r="P2031"/>
      <c r="R2031"/>
      <c r="S2031"/>
      <c r="T2031"/>
    </row>
    <row r="2032" spans="1:20" ht="17.25" customHeight="1">
      <c r="A2032"/>
      <c r="B2032"/>
      <c r="P2032"/>
      <c r="R2032"/>
      <c r="S2032"/>
      <c r="T2032"/>
    </row>
    <row r="2033" spans="1:20" ht="17.25" customHeight="1">
      <c r="A2033"/>
      <c r="B2033"/>
      <c r="P2033"/>
      <c r="R2033"/>
      <c r="S2033"/>
      <c r="T2033"/>
    </row>
    <row r="2034" spans="1:20" ht="17.25" customHeight="1">
      <c r="A2034"/>
      <c r="B2034"/>
      <c r="P2034"/>
      <c r="R2034"/>
      <c r="S2034"/>
      <c r="T2034"/>
    </row>
    <row r="2035" spans="1:20" ht="17.25" customHeight="1">
      <c r="A2035"/>
      <c r="B2035"/>
      <c r="P2035"/>
      <c r="R2035"/>
      <c r="S2035"/>
      <c r="T2035"/>
    </row>
    <row r="2036" spans="1:20" ht="17.25" customHeight="1">
      <c r="A2036"/>
      <c r="B2036"/>
      <c r="P2036"/>
      <c r="R2036"/>
      <c r="S2036"/>
      <c r="T2036"/>
    </row>
    <row r="2037" spans="1:20" ht="17.25" customHeight="1">
      <c r="A2037"/>
      <c r="B2037"/>
      <c r="P2037"/>
      <c r="R2037"/>
      <c r="S2037"/>
      <c r="T2037"/>
    </row>
    <row r="2038" spans="1:20" ht="17.25" customHeight="1">
      <c r="A2038"/>
      <c r="B2038"/>
      <c r="P2038"/>
      <c r="R2038"/>
      <c r="S2038"/>
      <c r="T2038"/>
    </row>
    <row r="2039" spans="1:20" ht="17.25" customHeight="1">
      <c r="A2039"/>
      <c r="B2039"/>
      <c r="P2039"/>
      <c r="R2039"/>
      <c r="S2039"/>
      <c r="T2039"/>
    </row>
    <row r="2040" spans="1:20" ht="17.25" customHeight="1">
      <c r="A2040"/>
      <c r="B2040"/>
      <c r="P2040"/>
      <c r="R2040"/>
      <c r="S2040"/>
      <c r="T2040"/>
    </row>
    <row r="2041" spans="1:20" ht="17.25" customHeight="1">
      <c r="A2041"/>
      <c r="B2041"/>
      <c r="P2041"/>
      <c r="R2041"/>
      <c r="S2041"/>
      <c r="T2041"/>
    </row>
    <row r="2042" spans="1:20" ht="17.25" customHeight="1">
      <c r="A2042"/>
      <c r="B2042"/>
      <c r="P2042"/>
      <c r="R2042"/>
      <c r="S2042"/>
      <c r="T2042"/>
    </row>
    <row r="2043" spans="1:20" ht="17.25" customHeight="1">
      <c r="A2043"/>
      <c r="B2043"/>
      <c r="P2043"/>
      <c r="R2043"/>
      <c r="S2043"/>
      <c r="T2043"/>
    </row>
    <row r="2044" spans="1:20" ht="17.25" customHeight="1">
      <c r="A2044"/>
      <c r="B2044"/>
      <c r="P2044"/>
      <c r="R2044"/>
      <c r="S2044"/>
      <c r="T2044"/>
    </row>
    <row r="2045" spans="1:20" ht="17.25" customHeight="1">
      <c r="A2045"/>
      <c r="B2045"/>
      <c r="P2045"/>
      <c r="R2045"/>
      <c r="S2045"/>
      <c r="T2045"/>
    </row>
    <row r="2046" spans="1:20" ht="17.25" customHeight="1">
      <c r="A2046"/>
      <c r="B2046"/>
      <c r="P2046"/>
      <c r="R2046"/>
      <c r="S2046"/>
      <c r="T2046"/>
    </row>
    <row r="2047" spans="1:20" ht="17.25" customHeight="1">
      <c r="A2047"/>
      <c r="B2047"/>
      <c r="P2047"/>
      <c r="R2047"/>
      <c r="S2047"/>
      <c r="T2047"/>
    </row>
    <row r="2048" spans="1:20" ht="17.25" customHeight="1">
      <c r="A2048"/>
      <c r="B2048"/>
      <c r="P2048"/>
      <c r="R2048"/>
      <c r="S2048"/>
      <c r="T2048"/>
    </row>
    <row r="2049" spans="1:20" ht="17.25" customHeight="1">
      <c r="A2049"/>
      <c r="B2049"/>
      <c r="P2049"/>
      <c r="R2049"/>
      <c r="S2049"/>
      <c r="T2049"/>
    </row>
    <row r="2050" spans="1:20" ht="17.25" customHeight="1">
      <c r="A2050"/>
      <c r="B2050"/>
      <c r="P2050"/>
      <c r="R2050"/>
      <c r="S2050"/>
      <c r="T2050"/>
    </row>
    <row r="2051" spans="1:20" ht="17.25" customHeight="1">
      <c r="A2051"/>
      <c r="B2051"/>
      <c r="P2051"/>
      <c r="R2051"/>
      <c r="S2051"/>
      <c r="T2051"/>
    </row>
    <row r="2052" spans="1:20" ht="17.25" customHeight="1">
      <c r="A2052"/>
      <c r="B2052"/>
      <c r="P2052"/>
      <c r="R2052"/>
      <c r="S2052"/>
      <c r="T2052"/>
    </row>
    <row r="2053" spans="1:20" ht="17.25" customHeight="1">
      <c r="A2053"/>
      <c r="B2053"/>
      <c r="P2053"/>
      <c r="R2053"/>
      <c r="S2053"/>
      <c r="T2053"/>
    </row>
    <row r="2054" spans="1:20" ht="17.25" customHeight="1">
      <c r="A2054"/>
      <c r="B2054"/>
      <c r="P2054"/>
      <c r="R2054"/>
      <c r="S2054"/>
      <c r="T2054"/>
    </row>
    <row r="2055" spans="1:20" ht="17.25" customHeight="1">
      <c r="A2055"/>
      <c r="B2055"/>
      <c r="P2055"/>
      <c r="R2055"/>
      <c r="S2055"/>
      <c r="T2055"/>
    </row>
    <row r="2056" spans="1:20" ht="17.25" customHeight="1">
      <c r="A2056"/>
      <c r="B2056"/>
      <c r="P2056"/>
      <c r="R2056"/>
      <c r="S2056"/>
      <c r="T2056"/>
    </row>
    <row r="2057" spans="1:20" ht="17.25" customHeight="1">
      <c r="A2057"/>
      <c r="B2057"/>
      <c r="P2057"/>
      <c r="R2057"/>
      <c r="S2057"/>
      <c r="T2057"/>
    </row>
    <row r="2058" spans="1:20" ht="17.25" customHeight="1">
      <c r="A2058"/>
      <c r="B2058"/>
      <c r="P2058"/>
      <c r="R2058"/>
      <c r="S2058"/>
      <c r="T2058"/>
    </row>
    <row r="2059" spans="1:20" ht="17.25" customHeight="1">
      <c r="A2059"/>
      <c r="B2059"/>
      <c r="P2059"/>
      <c r="R2059"/>
      <c r="S2059"/>
      <c r="T2059"/>
    </row>
    <row r="2060" spans="1:20" ht="17.25" customHeight="1">
      <c r="A2060"/>
      <c r="B2060"/>
      <c r="P2060"/>
      <c r="R2060"/>
      <c r="S2060"/>
      <c r="T2060"/>
    </row>
    <row r="2061" spans="1:20" ht="17.25" customHeight="1">
      <c r="A2061"/>
      <c r="B2061"/>
      <c r="P2061"/>
      <c r="R2061"/>
      <c r="S2061"/>
      <c r="T2061"/>
    </row>
    <row r="2062" spans="1:20" ht="17.25" customHeight="1">
      <c r="A2062"/>
      <c r="B2062"/>
      <c r="P2062"/>
      <c r="R2062"/>
      <c r="S2062"/>
      <c r="T2062"/>
    </row>
    <row r="2063" spans="1:20" ht="17.25" customHeight="1">
      <c r="A2063"/>
      <c r="B2063"/>
      <c r="P2063"/>
      <c r="R2063"/>
      <c r="S2063"/>
      <c r="T2063"/>
    </row>
    <row r="2064" spans="1:20" ht="17.25" customHeight="1">
      <c r="A2064"/>
      <c r="B2064"/>
      <c r="P2064"/>
      <c r="R2064"/>
      <c r="S2064"/>
      <c r="T2064"/>
    </row>
    <row r="2065" spans="1:20" ht="17.25" customHeight="1">
      <c r="A2065"/>
      <c r="B2065"/>
      <c r="P2065"/>
      <c r="R2065"/>
      <c r="S2065"/>
      <c r="T2065"/>
    </row>
    <row r="2066" spans="1:20" ht="17.25" customHeight="1">
      <c r="A2066"/>
      <c r="B2066"/>
      <c r="P2066"/>
      <c r="R2066"/>
      <c r="S2066"/>
      <c r="T2066"/>
    </row>
    <row r="2067" spans="1:20" ht="17.25" customHeight="1">
      <c r="A2067"/>
      <c r="B2067"/>
      <c r="P2067"/>
      <c r="R2067"/>
      <c r="S2067"/>
      <c r="T2067"/>
    </row>
    <row r="2068" spans="1:20" ht="17.25" customHeight="1">
      <c r="A2068"/>
      <c r="B2068"/>
      <c r="P2068"/>
      <c r="R2068"/>
      <c r="S2068"/>
      <c r="T2068"/>
    </row>
    <row r="2069" spans="1:20" ht="17.25" customHeight="1">
      <c r="A2069"/>
      <c r="B2069"/>
      <c r="P2069"/>
      <c r="R2069"/>
      <c r="S2069"/>
      <c r="T2069"/>
    </row>
    <row r="2070" spans="1:20" ht="17.25" customHeight="1">
      <c r="A2070"/>
      <c r="B2070"/>
      <c r="P2070"/>
      <c r="R2070"/>
      <c r="S2070"/>
      <c r="T2070"/>
    </row>
    <row r="2071" spans="1:20" ht="17.25" customHeight="1">
      <c r="A2071"/>
      <c r="B2071"/>
      <c r="P2071"/>
      <c r="R2071"/>
      <c r="S2071"/>
      <c r="T2071"/>
    </row>
    <row r="2072" spans="1:20" ht="17.25" customHeight="1">
      <c r="A2072"/>
      <c r="B2072"/>
      <c r="P2072"/>
      <c r="R2072"/>
      <c r="S2072"/>
      <c r="T2072"/>
    </row>
    <row r="2073" spans="1:20" ht="17.25" customHeight="1">
      <c r="A2073"/>
      <c r="B2073"/>
      <c r="P2073"/>
      <c r="R2073"/>
      <c r="S2073"/>
      <c r="T2073"/>
    </row>
    <row r="2074" spans="1:20" ht="17.25" customHeight="1">
      <c r="A2074"/>
      <c r="B2074"/>
      <c r="P2074"/>
      <c r="R2074"/>
      <c r="S2074"/>
      <c r="T2074"/>
    </row>
    <row r="2075" spans="1:20" ht="17.25" customHeight="1">
      <c r="A2075"/>
      <c r="B2075"/>
      <c r="P2075"/>
      <c r="R2075"/>
      <c r="S2075"/>
      <c r="T2075"/>
    </row>
    <row r="2076" spans="1:20" ht="17.25" customHeight="1">
      <c r="A2076"/>
      <c r="B2076"/>
      <c r="P2076"/>
      <c r="R2076"/>
      <c r="S2076"/>
      <c r="T2076"/>
    </row>
    <row r="2077" spans="1:20" ht="17.25" customHeight="1">
      <c r="A2077"/>
      <c r="B2077"/>
      <c r="P2077"/>
      <c r="R2077"/>
      <c r="S2077"/>
      <c r="T2077"/>
    </row>
    <row r="2078" spans="1:20" ht="17.25" customHeight="1">
      <c r="A2078"/>
      <c r="B2078"/>
      <c r="P2078"/>
      <c r="R2078"/>
      <c r="S2078"/>
      <c r="T2078"/>
    </row>
    <row r="2079" spans="1:20" ht="17.25" customHeight="1">
      <c r="A2079"/>
      <c r="B2079"/>
      <c r="P2079"/>
      <c r="R2079"/>
      <c r="S2079"/>
      <c r="T2079"/>
    </row>
    <row r="2080" spans="1:20" ht="17.25" customHeight="1">
      <c r="A2080"/>
      <c r="B2080"/>
      <c r="P2080"/>
      <c r="R2080"/>
      <c r="S2080"/>
      <c r="T2080"/>
    </row>
    <row r="2081" spans="1:20" ht="17.25" customHeight="1">
      <c r="A2081"/>
      <c r="B2081"/>
      <c r="P2081"/>
      <c r="R2081"/>
      <c r="S2081"/>
      <c r="T2081"/>
    </row>
    <row r="2082" spans="1:20" ht="17.25" customHeight="1">
      <c r="A2082"/>
      <c r="B2082"/>
      <c r="P2082"/>
      <c r="R2082"/>
      <c r="S2082"/>
      <c r="T2082"/>
    </row>
    <row r="2083" spans="1:20" ht="17.25" customHeight="1">
      <c r="A2083"/>
      <c r="B2083"/>
      <c r="P2083"/>
      <c r="R2083"/>
      <c r="S2083"/>
      <c r="T2083"/>
    </row>
    <row r="2084" spans="1:20" ht="17.25" customHeight="1">
      <c r="A2084"/>
      <c r="B2084"/>
      <c r="P2084"/>
      <c r="R2084"/>
      <c r="S2084"/>
      <c r="T2084"/>
    </row>
    <row r="2085" spans="1:20" ht="17.25" customHeight="1">
      <c r="A2085"/>
      <c r="B2085"/>
      <c r="P2085"/>
      <c r="R2085"/>
      <c r="S2085"/>
      <c r="T2085"/>
    </row>
    <row r="2086" spans="1:20" ht="17.25" customHeight="1">
      <c r="A2086"/>
      <c r="B2086"/>
      <c r="P2086"/>
      <c r="R2086"/>
      <c r="S2086"/>
      <c r="T2086"/>
    </row>
    <row r="2087" spans="1:20" ht="17.25" customHeight="1">
      <c r="A2087"/>
      <c r="B2087"/>
      <c r="P2087"/>
      <c r="R2087"/>
      <c r="S2087"/>
      <c r="T2087"/>
    </row>
    <row r="2088" spans="1:20" ht="17.25" customHeight="1">
      <c r="A2088"/>
      <c r="B2088"/>
      <c r="P2088"/>
      <c r="R2088"/>
      <c r="S2088"/>
      <c r="T2088"/>
    </row>
    <row r="2089" spans="1:20" ht="17.25" customHeight="1">
      <c r="A2089"/>
      <c r="B2089"/>
      <c r="P2089"/>
      <c r="R2089"/>
      <c r="S2089"/>
      <c r="T2089"/>
    </row>
    <row r="2090" spans="1:20" ht="17.25" customHeight="1">
      <c r="A2090"/>
      <c r="B2090"/>
      <c r="P2090"/>
      <c r="R2090"/>
      <c r="S2090"/>
      <c r="T2090"/>
    </row>
    <row r="2091" spans="1:20" ht="17.25" customHeight="1">
      <c r="A2091"/>
      <c r="B2091"/>
      <c r="P2091"/>
      <c r="R2091"/>
      <c r="S2091"/>
      <c r="T2091"/>
    </row>
    <row r="2092" spans="1:20" ht="17.25" customHeight="1">
      <c r="A2092"/>
      <c r="B2092"/>
      <c r="P2092"/>
      <c r="R2092"/>
      <c r="S2092"/>
      <c r="T2092"/>
    </row>
    <row r="2093" spans="1:20" ht="17.25" customHeight="1">
      <c r="A2093"/>
      <c r="B2093"/>
      <c r="P2093"/>
      <c r="R2093"/>
      <c r="S2093"/>
      <c r="T2093"/>
    </row>
    <row r="2094" spans="1:20" ht="17.25" customHeight="1">
      <c r="A2094"/>
      <c r="B2094"/>
      <c r="P2094"/>
      <c r="R2094"/>
      <c r="S2094"/>
      <c r="T2094"/>
    </row>
    <row r="2095" spans="1:20" ht="17.25" customHeight="1">
      <c r="A2095"/>
      <c r="B2095"/>
      <c r="P2095"/>
      <c r="R2095"/>
      <c r="S2095"/>
      <c r="T2095"/>
    </row>
    <row r="2096" spans="1:20" ht="17.25" customHeight="1">
      <c r="A2096"/>
      <c r="B2096"/>
      <c r="P2096"/>
      <c r="R2096"/>
      <c r="S2096"/>
      <c r="T2096"/>
    </row>
    <row r="2097" spans="1:20" ht="17.25" customHeight="1">
      <c r="A2097"/>
      <c r="B2097"/>
      <c r="P2097"/>
      <c r="R2097"/>
      <c r="S2097"/>
      <c r="T2097"/>
    </row>
    <row r="2098" spans="1:20" ht="17.25" customHeight="1">
      <c r="A2098"/>
      <c r="B2098"/>
      <c r="P2098"/>
      <c r="R2098"/>
      <c r="S2098"/>
      <c r="T2098"/>
    </row>
    <row r="2099" spans="1:20" ht="17.25" customHeight="1">
      <c r="A2099"/>
      <c r="B2099"/>
      <c r="P2099"/>
      <c r="R2099"/>
      <c r="S2099"/>
      <c r="T2099"/>
    </row>
    <row r="2100" spans="1:20" ht="17.25" customHeight="1">
      <c r="A2100"/>
      <c r="B2100"/>
      <c r="P2100"/>
      <c r="R2100"/>
      <c r="S2100"/>
      <c r="T2100"/>
    </row>
    <row r="2101" spans="1:20" ht="17.25" customHeight="1">
      <c r="A2101"/>
      <c r="B2101"/>
      <c r="P2101"/>
      <c r="R2101"/>
      <c r="S2101"/>
      <c r="T2101"/>
    </row>
    <row r="2102" spans="1:20" ht="17.25" customHeight="1">
      <c r="A2102"/>
      <c r="B2102"/>
      <c r="P2102"/>
      <c r="R2102"/>
      <c r="S2102"/>
      <c r="T2102"/>
    </row>
    <row r="2103" spans="1:20" ht="17.25" customHeight="1">
      <c r="A2103"/>
      <c r="B2103"/>
      <c r="P2103"/>
      <c r="R2103"/>
      <c r="S2103"/>
      <c r="T2103"/>
    </row>
    <row r="2104" spans="1:20" ht="17.25" customHeight="1">
      <c r="A2104"/>
      <c r="B2104"/>
      <c r="P2104"/>
      <c r="R2104"/>
      <c r="S2104"/>
      <c r="T2104"/>
    </row>
    <row r="2105" spans="1:20" ht="17.25" customHeight="1">
      <c r="A2105"/>
      <c r="B2105"/>
      <c r="P2105"/>
      <c r="R2105"/>
      <c r="S2105"/>
      <c r="T2105"/>
    </row>
    <row r="2106" spans="1:20" ht="17.25" customHeight="1">
      <c r="A2106"/>
      <c r="B2106"/>
      <c r="P2106"/>
      <c r="R2106"/>
      <c r="S2106"/>
      <c r="T2106"/>
    </row>
    <row r="2107" spans="1:20" ht="17.25" customHeight="1">
      <c r="A2107"/>
      <c r="B2107"/>
      <c r="P2107"/>
      <c r="R2107"/>
      <c r="S2107"/>
      <c r="T2107"/>
    </row>
    <row r="2108" spans="1:20" ht="17.25" customHeight="1">
      <c r="A2108"/>
      <c r="B2108"/>
      <c r="P2108"/>
      <c r="R2108"/>
      <c r="S2108"/>
      <c r="T2108"/>
    </row>
    <row r="2109" spans="1:20" ht="17.25" customHeight="1">
      <c r="A2109"/>
      <c r="B2109"/>
      <c r="P2109"/>
      <c r="R2109"/>
      <c r="S2109"/>
      <c r="T2109"/>
    </row>
    <row r="2110" spans="1:20" ht="17.25" customHeight="1">
      <c r="A2110"/>
      <c r="B2110"/>
      <c r="P2110"/>
      <c r="R2110"/>
      <c r="S2110"/>
      <c r="T2110"/>
    </row>
    <row r="2111" spans="1:20" ht="17.25" customHeight="1">
      <c r="A2111"/>
      <c r="B2111"/>
      <c r="P2111"/>
      <c r="R2111"/>
      <c r="S2111"/>
      <c r="T2111"/>
    </row>
    <row r="2112" spans="1:20" ht="17.25" customHeight="1">
      <c r="A2112"/>
      <c r="B2112"/>
      <c r="P2112"/>
      <c r="R2112"/>
      <c r="S2112"/>
      <c r="T2112"/>
    </row>
    <row r="2113" spans="1:20" ht="17.25" customHeight="1">
      <c r="A2113"/>
      <c r="B2113"/>
      <c r="P2113"/>
      <c r="R2113"/>
      <c r="S2113"/>
      <c r="T2113"/>
    </row>
    <row r="2114" spans="1:20" ht="17.25" customHeight="1">
      <c r="A2114"/>
      <c r="B2114"/>
      <c r="P2114"/>
      <c r="R2114"/>
      <c r="S2114"/>
      <c r="T2114"/>
    </row>
    <row r="2115" spans="1:20" ht="17.25" customHeight="1">
      <c r="A2115"/>
      <c r="B2115"/>
      <c r="P2115"/>
      <c r="R2115"/>
      <c r="S2115"/>
      <c r="T2115"/>
    </row>
    <row r="2116" spans="1:20" ht="17.25" customHeight="1">
      <c r="A2116"/>
      <c r="B2116"/>
      <c r="P2116"/>
      <c r="R2116"/>
      <c r="S2116"/>
      <c r="T2116"/>
    </row>
    <row r="2117" spans="1:20" ht="17.25" customHeight="1">
      <c r="A2117"/>
      <c r="B2117"/>
      <c r="P2117"/>
      <c r="R2117"/>
      <c r="S2117"/>
      <c r="T2117"/>
    </row>
    <row r="2118" spans="1:20" ht="17.25" customHeight="1">
      <c r="A2118"/>
      <c r="B2118"/>
      <c r="P2118"/>
      <c r="R2118"/>
      <c r="S2118"/>
      <c r="T2118"/>
    </row>
    <row r="2119" spans="1:20" ht="17.25" customHeight="1">
      <c r="A2119"/>
      <c r="B2119"/>
      <c r="P2119"/>
      <c r="R2119"/>
      <c r="S2119"/>
      <c r="T2119"/>
    </row>
    <row r="2120" spans="1:20" ht="17.25" customHeight="1">
      <c r="A2120"/>
      <c r="B2120"/>
      <c r="P2120"/>
      <c r="R2120"/>
      <c r="S2120"/>
      <c r="T2120"/>
    </row>
    <row r="2121" spans="1:20" ht="17.25" customHeight="1">
      <c r="A2121"/>
      <c r="B2121"/>
      <c r="P2121"/>
      <c r="R2121"/>
      <c r="S2121"/>
      <c r="T2121"/>
    </row>
    <row r="2122" spans="1:20" ht="17.25" customHeight="1">
      <c r="A2122"/>
      <c r="B2122"/>
      <c r="P2122"/>
      <c r="R2122"/>
      <c r="S2122"/>
      <c r="T2122"/>
    </row>
    <row r="2123" spans="1:20" ht="17.25" customHeight="1">
      <c r="A2123"/>
      <c r="B2123"/>
      <c r="P2123"/>
      <c r="R2123"/>
      <c r="S2123"/>
      <c r="T2123"/>
    </row>
    <row r="2124" spans="1:20" ht="17.25" customHeight="1">
      <c r="A2124"/>
      <c r="B2124"/>
      <c r="P2124"/>
      <c r="R2124"/>
      <c r="S2124"/>
      <c r="T2124"/>
    </row>
    <row r="2125" spans="1:20" ht="17.25" customHeight="1">
      <c r="A2125"/>
      <c r="B2125"/>
      <c r="P2125"/>
      <c r="R2125"/>
      <c r="S2125"/>
      <c r="T2125"/>
    </row>
    <row r="2126" spans="1:20" ht="17.25" customHeight="1">
      <c r="A2126"/>
      <c r="B2126"/>
      <c r="P2126"/>
      <c r="R2126"/>
      <c r="S2126"/>
      <c r="T2126"/>
    </row>
    <row r="2127" spans="1:20" ht="17.25" customHeight="1">
      <c r="A2127"/>
      <c r="B2127"/>
      <c r="P2127"/>
      <c r="R2127"/>
      <c r="S2127"/>
      <c r="T2127"/>
    </row>
    <row r="2128" spans="1:20" ht="17.25" customHeight="1">
      <c r="A2128"/>
      <c r="B2128"/>
      <c r="P2128"/>
      <c r="R2128"/>
      <c r="S2128"/>
      <c r="T2128"/>
    </row>
    <row r="2129" spans="1:20" ht="17.25" customHeight="1">
      <c r="A2129"/>
      <c r="B2129"/>
      <c r="P2129"/>
      <c r="R2129"/>
      <c r="S2129"/>
      <c r="T2129"/>
    </row>
    <row r="2130" spans="1:20" ht="17.25" customHeight="1">
      <c r="A2130"/>
      <c r="B2130"/>
      <c r="P2130"/>
      <c r="R2130"/>
      <c r="S2130"/>
      <c r="T2130"/>
    </row>
    <row r="2131" spans="1:20" ht="17.25" customHeight="1">
      <c r="A2131"/>
      <c r="B2131"/>
      <c r="P2131"/>
      <c r="R2131"/>
      <c r="S2131"/>
      <c r="T2131"/>
    </row>
    <row r="2132" spans="1:20" ht="17.25" customHeight="1">
      <c r="A2132"/>
      <c r="B2132"/>
      <c r="P2132"/>
      <c r="R2132"/>
      <c r="S2132"/>
      <c r="T2132"/>
    </row>
    <row r="2133" spans="1:20" ht="17.25" customHeight="1">
      <c r="A2133"/>
      <c r="B2133"/>
      <c r="P2133"/>
      <c r="R2133"/>
      <c r="S2133"/>
      <c r="T2133"/>
    </row>
    <row r="2134" spans="1:20" ht="17.25" customHeight="1">
      <c r="A2134"/>
      <c r="B2134"/>
      <c r="P2134"/>
      <c r="R2134"/>
      <c r="S2134"/>
      <c r="T2134"/>
    </row>
    <row r="2135" spans="1:20" ht="17.25" customHeight="1">
      <c r="A2135"/>
      <c r="B2135"/>
      <c r="P2135"/>
      <c r="R2135"/>
      <c r="S2135"/>
      <c r="T2135"/>
    </row>
    <row r="2136" spans="1:20" ht="17.25" customHeight="1">
      <c r="A2136"/>
      <c r="B2136"/>
      <c r="P2136"/>
      <c r="R2136"/>
      <c r="S2136"/>
      <c r="T2136"/>
    </row>
    <row r="2137" spans="1:20" ht="17.25" customHeight="1">
      <c r="A2137"/>
      <c r="B2137"/>
      <c r="P2137"/>
      <c r="R2137"/>
      <c r="S2137"/>
      <c r="T2137"/>
    </row>
    <row r="2138" spans="1:20" ht="17.25" customHeight="1">
      <c r="A2138"/>
      <c r="B2138"/>
      <c r="P2138"/>
      <c r="R2138"/>
      <c r="S2138"/>
      <c r="T2138"/>
    </row>
    <row r="2139" spans="1:20" ht="17.25" customHeight="1">
      <c r="A2139"/>
      <c r="B2139"/>
      <c r="P2139"/>
      <c r="R2139"/>
      <c r="S2139"/>
      <c r="T2139"/>
    </row>
    <row r="2140" spans="1:20" ht="17.25" customHeight="1">
      <c r="A2140"/>
      <c r="B2140"/>
      <c r="P2140"/>
      <c r="R2140"/>
      <c r="S2140"/>
      <c r="T2140"/>
    </row>
    <row r="2141" spans="1:20" ht="17.25" customHeight="1">
      <c r="A2141"/>
      <c r="B2141"/>
      <c r="P2141"/>
      <c r="R2141"/>
      <c r="S2141"/>
      <c r="T2141"/>
    </row>
    <row r="2142" spans="1:20" ht="17.25" customHeight="1">
      <c r="A2142"/>
      <c r="B2142"/>
      <c r="P2142"/>
      <c r="R2142"/>
      <c r="S2142"/>
      <c r="T2142"/>
    </row>
    <row r="2143" spans="1:20" ht="17.25" customHeight="1">
      <c r="A2143"/>
      <c r="B2143"/>
      <c r="P2143"/>
      <c r="R2143"/>
      <c r="S2143"/>
      <c r="T2143"/>
    </row>
    <row r="2144" spans="1:20" ht="17.25" customHeight="1">
      <c r="A2144"/>
      <c r="B2144"/>
      <c r="P2144"/>
      <c r="R2144"/>
      <c r="S2144"/>
      <c r="T2144"/>
    </row>
    <row r="2145" spans="1:20" ht="17.25" customHeight="1">
      <c r="A2145"/>
      <c r="B2145"/>
      <c r="P2145"/>
      <c r="R2145"/>
      <c r="S2145"/>
      <c r="T2145"/>
    </row>
    <row r="2146" spans="1:20" ht="17.25" customHeight="1">
      <c r="A2146"/>
      <c r="B2146"/>
      <c r="P2146"/>
      <c r="R2146"/>
      <c r="S2146"/>
      <c r="T2146"/>
    </row>
    <row r="2147" spans="1:20" ht="17.25" customHeight="1">
      <c r="A2147"/>
      <c r="B2147"/>
      <c r="P2147"/>
      <c r="R2147"/>
      <c r="S2147"/>
      <c r="T2147"/>
    </row>
    <row r="2148" spans="1:20" ht="17.25" customHeight="1">
      <c r="A2148"/>
      <c r="B2148"/>
      <c r="P2148"/>
      <c r="R2148"/>
      <c r="S2148"/>
      <c r="T2148"/>
    </row>
    <row r="2149" spans="1:20" ht="17.25" customHeight="1">
      <c r="A2149"/>
      <c r="B2149"/>
      <c r="P2149"/>
      <c r="R2149"/>
      <c r="S2149"/>
      <c r="T2149"/>
    </row>
    <row r="2150" spans="1:20" ht="17.25" customHeight="1">
      <c r="A2150"/>
      <c r="B2150"/>
      <c r="P2150"/>
      <c r="R2150"/>
      <c r="S2150"/>
      <c r="T2150"/>
    </row>
    <row r="2151" spans="1:20" ht="17.25" customHeight="1">
      <c r="A2151"/>
      <c r="B2151"/>
      <c r="P2151"/>
      <c r="R2151"/>
      <c r="S2151"/>
      <c r="T2151"/>
    </row>
    <row r="2152" spans="1:20" ht="17.25" customHeight="1">
      <c r="A2152"/>
      <c r="B2152"/>
      <c r="P2152"/>
      <c r="R2152"/>
      <c r="S2152"/>
      <c r="T2152"/>
    </row>
    <row r="2153" spans="1:20" ht="17.25" customHeight="1">
      <c r="A2153"/>
      <c r="B2153"/>
      <c r="P2153"/>
      <c r="R2153"/>
      <c r="S2153"/>
      <c r="T2153"/>
    </row>
    <row r="2154" spans="1:20" ht="17.25" customHeight="1">
      <c r="A2154"/>
      <c r="B2154"/>
      <c r="P2154"/>
      <c r="R2154"/>
      <c r="S2154"/>
      <c r="T2154"/>
    </row>
    <row r="2155" spans="1:20" ht="17.25" customHeight="1">
      <c r="A2155"/>
      <c r="B2155"/>
      <c r="P2155"/>
      <c r="R2155"/>
      <c r="S2155"/>
      <c r="T2155"/>
    </row>
    <row r="2156" spans="1:20" ht="17.25" customHeight="1">
      <c r="A2156"/>
      <c r="B2156"/>
      <c r="P2156"/>
      <c r="R2156"/>
      <c r="S2156"/>
      <c r="T2156"/>
    </row>
    <row r="2157" spans="1:20" ht="17.25" customHeight="1">
      <c r="A2157"/>
      <c r="B2157"/>
      <c r="P2157"/>
      <c r="R2157"/>
      <c r="S2157"/>
      <c r="T2157"/>
    </row>
    <row r="2158" spans="1:20" ht="17.25" customHeight="1">
      <c r="A2158"/>
      <c r="B2158"/>
      <c r="P2158"/>
      <c r="R2158"/>
      <c r="S2158"/>
      <c r="T2158"/>
    </row>
    <row r="2159" spans="1:20" ht="17.25" customHeight="1">
      <c r="A2159"/>
      <c r="B2159"/>
      <c r="P2159"/>
      <c r="R2159"/>
      <c r="S2159"/>
      <c r="T2159"/>
    </row>
    <row r="2160" spans="1:20" ht="17.25" customHeight="1">
      <c r="A2160"/>
      <c r="B2160"/>
      <c r="P2160"/>
      <c r="R2160"/>
      <c r="S2160"/>
      <c r="T2160"/>
    </row>
    <row r="2161" spans="1:20" ht="17.25" customHeight="1">
      <c r="A2161"/>
      <c r="B2161"/>
      <c r="P2161"/>
      <c r="R2161"/>
      <c r="S2161"/>
      <c r="T2161"/>
    </row>
    <row r="2162" spans="1:20" ht="17.25" customHeight="1">
      <c r="A2162"/>
      <c r="B2162"/>
      <c r="P2162"/>
      <c r="R2162"/>
      <c r="S2162"/>
      <c r="T2162"/>
    </row>
    <row r="2163" spans="1:20" ht="17.25" customHeight="1">
      <c r="A2163"/>
      <c r="B2163"/>
      <c r="P2163"/>
      <c r="R2163"/>
      <c r="S2163"/>
      <c r="T2163"/>
    </row>
    <row r="2164" spans="1:20" ht="17.25" customHeight="1">
      <c r="A2164"/>
      <c r="B2164"/>
      <c r="P2164"/>
      <c r="R2164"/>
      <c r="S2164"/>
      <c r="T2164"/>
    </row>
    <row r="2165" spans="1:20" ht="17.25" customHeight="1">
      <c r="A2165"/>
      <c r="B2165"/>
      <c r="P2165"/>
      <c r="R2165"/>
      <c r="S2165"/>
      <c r="T2165"/>
    </row>
    <row r="2166" spans="1:20" ht="17.25" customHeight="1">
      <c r="A2166"/>
      <c r="B2166"/>
      <c r="P2166"/>
      <c r="R2166"/>
      <c r="S2166"/>
      <c r="T2166"/>
    </row>
    <row r="2167" spans="1:20" ht="17.25" customHeight="1">
      <c r="A2167"/>
      <c r="B2167"/>
      <c r="P2167"/>
      <c r="R2167"/>
      <c r="S2167"/>
      <c r="T2167"/>
    </row>
    <row r="2168" spans="1:20" ht="17.25" customHeight="1">
      <c r="A2168"/>
      <c r="B2168"/>
      <c r="P2168"/>
      <c r="R2168"/>
      <c r="S2168"/>
      <c r="T2168"/>
    </row>
    <row r="2169" spans="1:20" ht="17.25" customHeight="1">
      <c r="A2169"/>
      <c r="B2169"/>
      <c r="P2169"/>
      <c r="R2169"/>
      <c r="S2169"/>
      <c r="T2169"/>
    </row>
    <row r="2170" spans="1:20" ht="17.25" customHeight="1">
      <c r="A2170"/>
      <c r="B2170"/>
      <c r="P2170"/>
      <c r="R2170"/>
      <c r="S2170"/>
      <c r="T2170"/>
    </row>
    <row r="2171" spans="1:20" ht="17.25" customHeight="1">
      <c r="A2171"/>
      <c r="B2171"/>
      <c r="P2171"/>
      <c r="R2171"/>
      <c r="S2171"/>
      <c r="T2171"/>
    </row>
    <row r="2172" spans="1:20" ht="17.25" customHeight="1">
      <c r="A2172"/>
      <c r="B2172"/>
      <c r="P2172"/>
      <c r="R2172"/>
      <c r="S2172"/>
      <c r="T2172"/>
    </row>
    <row r="2173" spans="1:20" ht="17.25" customHeight="1">
      <c r="A2173"/>
      <c r="B2173"/>
      <c r="P2173"/>
      <c r="R2173"/>
      <c r="S2173"/>
      <c r="T2173"/>
    </row>
    <row r="2174" spans="1:20" ht="17.25" customHeight="1">
      <c r="A2174"/>
      <c r="B2174"/>
      <c r="P2174"/>
      <c r="R2174"/>
      <c r="S2174"/>
      <c r="T2174"/>
    </row>
    <row r="2175" spans="1:20" ht="17.25" customHeight="1">
      <c r="A2175"/>
      <c r="B2175"/>
      <c r="P2175"/>
      <c r="R2175"/>
      <c r="S2175"/>
      <c r="T2175"/>
    </row>
    <row r="2176" spans="1:20" ht="17.25" customHeight="1">
      <c r="A2176"/>
      <c r="B2176"/>
      <c r="P2176"/>
      <c r="R2176"/>
      <c r="S2176"/>
      <c r="T2176"/>
    </row>
    <row r="2177" spans="1:20" ht="17.25" customHeight="1">
      <c r="A2177"/>
      <c r="B2177"/>
      <c r="P2177"/>
      <c r="R2177"/>
      <c r="S2177"/>
      <c r="T2177"/>
    </row>
    <row r="2178" spans="1:20" ht="17.25" customHeight="1">
      <c r="A2178"/>
      <c r="B2178"/>
      <c r="P2178"/>
      <c r="R2178"/>
      <c r="S2178"/>
      <c r="T2178"/>
    </row>
    <row r="2179" spans="1:20" ht="17.25" customHeight="1">
      <c r="A2179"/>
      <c r="B2179"/>
      <c r="P2179"/>
      <c r="R2179"/>
      <c r="S2179"/>
      <c r="T2179"/>
    </row>
    <row r="2180" spans="1:20" ht="17.25" customHeight="1">
      <c r="A2180"/>
      <c r="B2180"/>
      <c r="P2180"/>
      <c r="R2180"/>
      <c r="S2180"/>
      <c r="T2180"/>
    </row>
    <row r="2181" spans="1:20" ht="17.25" customHeight="1">
      <c r="A2181"/>
      <c r="B2181"/>
      <c r="P2181"/>
      <c r="R2181"/>
      <c r="S2181"/>
      <c r="T2181"/>
    </row>
    <row r="2182" spans="1:20" ht="17.25" customHeight="1">
      <c r="A2182"/>
      <c r="B2182"/>
      <c r="P2182"/>
      <c r="R2182"/>
      <c r="S2182"/>
      <c r="T2182"/>
    </row>
    <row r="2183" spans="1:20" ht="17.25" customHeight="1">
      <c r="A2183"/>
      <c r="B2183"/>
      <c r="P2183"/>
      <c r="R2183"/>
      <c r="S2183"/>
      <c r="T2183"/>
    </row>
    <row r="2184" spans="1:20" ht="17.25" customHeight="1">
      <c r="A2184"/>
      <c r="B2184"/>
      <c r="P2184"/>
      <c r="R2184"/>
      <c r="S2184"/>
      <c r="T2184"/>
    </row>
    <row r="2185" spans="1:20" ht="17.25" customHeight="1">
      <c r="A2185"/>
      <c r="B2185"/>
      <c r="P2185"/>
      <c r="R2185"/>
      <c r="S2185"/>
      <c r="T2185"/>
    </row>
    <row r="2186" spans="1:20" ht="17.25" customHeight="1">
      <c r="A2186"/>
      <c r="B2186"/>
      <c r="P2186"/>
      <c r="R2186"/>
      <c r="S2186"/>
      <c r="T2186"/>
    </row>
    <row r="2187" spans="1:20" ht="17.25" customHeight="1">
      <c r="A2187"/>
      <c r="B2187"/>
      <c r="P2187"/>
      <c r="R2187"/>
      <c r="S2187"/>
      <c r="T2187"/>
    </row>
    <row r="2188" spans="1:20" ht="17.25" customHeight="1">
      <c r="A2188"/>
      <c r="B2188"/>
      <c r="P2188"/>
      <c r="R2188"/>
      <c r="S2188"/>
      <c r="T2188"/>
    </row>
    <row r="2189" spans="1:20" ht="17.25" customHeight="1">
      <c r="A2189"/>
      <c r="B2189"/>
      <c r="P2189"/>
      <c r="R2189"/>
      <c r="S2189"/>
      <c r="T2189"/>
    </row>
    <row r="2190" spans="1:20" ht="17.25" customHeight="1">
      <c r="A2190"/>
      <c r="B2190"/>
      <c r="P2190"/>
      <c r="R2190"/>
      <c r="S2190"/>
      <c r="T2190"/>
    </row>
    <row r="2191" spans="1:20" ht="17.25" customHeight="1">
      <c r="A2191"/>
      <c r="B2191"/>
      <c r="P2191"/>
      <c r="R2191"/>
      <c r="S2191"/>
      <c r="T2191"/>
    </row>
    <row r="2192" spans="1:20" ht="17.25" customHeight="1">
      <c r="A2192"/>
      <c r="B2192"/>
      <c r="P2192"/>
      <c r="R2192"/>
      <c r="S2192"/>
      <c r="T2192"/>
    </row>
    <row r="2193" spans="1:20" ht="17.25" customHeight="1">
      <c r="A2193"/>
      <c r="B2193"/>
      <c r="P2193"/>
      <c r="R2193"/>
      <c r="S2193"/>
      <c r="T2193"/>
    </row>
    <row r="2194" spans="1:20" ht="17.25" customHeight="1">
      <c r="A2194"/>
      <c r="B2194"/>
      <c r="P2194"/>
      <c r="R2194"/>
      <c r="S2194"/>
      <c r="T2194"/>
    </row>
    <row r="2195" spans="1:20" ht="17.25" customHeight="1">
      <c r="A2195"/>
      <c r="B2195"/>
      <c r="P2195"/>
      <c r="R2195"/>
      <c r="S2195"/>
      <c r="T2195"/>
    </row>
    <row r="2196" spans="1:20" ht="17.25" customHeight="1">
      <c r="A2196"/>
      <c r="B2196"/>
      <c r="P2196"/>
      <c r="R2196"/>
      <c r="S2196"/>
      <c r="T2196"/>
    </row>
    <row r="2197" spans="1:20" ht="17.25" customHeight="1">
      <c r="A2197"/>
      <c r="B2197"/>
      <c r="P2197"/>
      <c r="R2197"/>
      <c r="S2197"/>
      <c r="T2197"/>
    </row>
    <row r="2198" spans="1:20" ht="17.25" customHeight="1">
      <c r="A2198"/>
      <c r="B2198"/>
      <c r="P2198"/>
      <c r="R2198"/>
      <c r="S2198"/>
      <c r="T2198"/>
    </row>
    <row r="2199" spans="1:20" ht="17.25" customHeight="1">
      <c r="A2199"/>
      <c r="B2199"/>
      <c r="P2199"/>
      <c r="R2199"/>
      <c r="S2199"/>
      <c r="T2199"/>
    </row>
    <row r="2200" spans="1:20" ht="17.25" customHeight="1">
      <c r="A2200"/>
      <c r="B2200"/>
      <c r="P2200"/>
      <c r="R2200"/>
      <c r="S2200"/>
      <c r="T2200"/>
    </row>
    <row r="2201" spans="1:20" ht="17.25" customHeight="1">
      <c r="A2201"/>
      <c r="B2201"/>
      <c r="P2201"/>
      <c r="R2201"/>
      <c r="S2201"/>
      <c r="T2201"/>
    </row>
    <row r="2202" spans="1:20" ht="17.25" customHeight="1">
      <c r="A2202"/>
      <c r="B2202"/>
      <c r="P2202"/>
      <c r="R2202"/>
      <c r="S2202"/>
      <c r="T2202"/>
    </row>
    <row r="2203" spans="1:20" ht="17.25" customHeight="1">
      <c r="A2203"/>
      <c r="B2203"/>
      <c r="P2203"/>
      <c r="R2203"/>
      <c r="S2203"/>
      <c r="T2203"/>
    </row>
    <row r="2204" spans="1:20" ht="17.25" customHeight="1">
      <c r="A2204"/>
      <c r="B2204"/>
      <c r="P2204"/>
      <c r="R2204"/>
      <c r="S2204"/>
      <c r="T2204"/>
    </row>
    <row r="2205" spans="1:20" ht="17.25" customHeight="1">
      <c r="A2205"/>
      <c r="B2205"/>
      <c r="P2205"/>
      <c r="R2205"/>
      <c r="S2205"/>
      <c r="T2205"/>
    </row>
    <row r="2206" spans="1:20" ht="17.25" customHeight="1">
      <c r="A2206"/>
      <c r="B2206"/>
      <c r="P2206"/>
      <c r="R2206"/>
      <c r="S2206"/>
      <c r="T2206"/>
    </row>
    <row r="2207" spans="1:20" ht="17.25" customHeight="1">
      <c r="A2207"/>
      <c r="B2207"/>
      <c r="P2207"/>
      <c r="R2207"/>
      <c r="S2207"/>
      <c r="T2207"/>
    </row>
    <row r="2208" spans="1:20" ht="17.25" customHeight="1">
      <c r="A2208"/>
      <c r="B2208"/>
      <c r="P2208"/>
      <c r="R2208"/>
      <c r="S2208"/>
      <c r="T2208"/>
    </row>
    <row r="2209" spans="1:20" ht="17.25" customHeight="1">
      <c r="A2209"/>
      <c r="B2209"/>
      <c r="P2209"/>
      <c r="R2209"/>
      <c r="S2209"/>
      <c r="T2209"/>
    </row>
    <row r="2210" spans="1:20" ht="17.25" customHeight="1">
      <c r="A2210"/>
      <c r="B2210"/>
      <c r="P2210"/>
      <c r="R2210"/>
      <c r="S2210"/>
      <c r="T2210"/>
    </row>
    <row r="2211" spans="1:20" ht="17.25" customHeight="1">
      <c r="A2211"/>
      <c r="B2211"/>
      <c r="P2211"/>
      <c r="R2211"/>
      <c r="S2211"/>
      <c r="T2211"/>
    </row>
    <row r="2212" spans="1:20" ht="17.25" customHeight="1">
      <c r="A2212"/>
      <c r="B2212"/>
      <c r="P2212"/>
      <c r="R2212"/>
      <c r="S2212"/>
      <c r="T2212"/>
    </row>
    <row r="2213" spans="1:20" ht="17.25" customHeight="1">
      <c r="A2213"/>
      <c r="B2213"/>
      <c r="P2213"/>
      <c r="R2213"/>
      <c r="S2213"/>
      <c r="T2213"/>
    </row>
    <row r="2214" spans="1:20" ht="17.25" customHeight="1">
      <c r="A2214"/>
      <c r="B2214"/>
      <c r="P2214"/>
      <c r="R2214"/>
      <c r="S2214"/>
      <c r="T2214"/>
    </row>
    <row r="2215" spans="1:20" ht="17.25" customHeight="1">
      <c r="A2215"/>
      <c r="B2215"/>
      <c r="P2215"/>
      <c r="R2215"/>
      <c r="S2215"/>
      <c r="T2215"/>
    </row>
    <row r="2216" spans="1:20" ht="17.25" customHeight="1">
      <c r="A2216"/>
      <c r="B2216"/>
      <c r="P2216"/>
      <c r="R2216"/>
      <c r="S2216"/>
      <c r="T2216"/>
    </row>
    <row r="2217" spans="1:20" ht="17.25" customHeight="1">
      <c r="A2217"/>
      <c r="B2217"/>
      <c r="P2217"/>
      <c r="R2217"/>
      <c r="S2217"/>
      <c r="T2217"/>
    </row>
    <row r="2218" spans="1:20" ht="17.25" customHeight="1">
      <c r="A2218"/>
      <c r="B2218"/>
      <c r="P2218"/>
      <c r="R2218"/>
      <c r="S2218"/>
      <c r="T2218"/>
    </row>
    <row r="2219" spans="1:20" ht="17.25" customHeight="1">
      <c r="A2219"/>
      <c r="B2219"/>
      <c r="P2219"/>
      <c r="R2219"/>
      <c r="S2219"/>
      <c r="T2219"/>
    </row>
    <row r="2220" spans="1:20" ht="17.25" customHeight="1">
      <c r="A2220"/>
      <c r="B2220"/>
      <c r="P2220"/>
      <c r="R2220"/>
      <c r="S2220"/>
      <c r="T2220"/>
    </row>
    <row r="2221" spans="1:20" ht="17.25" customHeight="1">
      <c r="A2221"/>
      <c r="B2221"/>
      <c r="P2221"/>
      <c r="R2221"/>
      <c r="S2221"/>
      <c r="T2221"/>
    </row>
    <row r="2222" spans="1:20" ht="17.25" customHeight="1">
      <c r="A2222"/>
      <c r="B2222"/>
      <c r="P2222"/>
      <c r="R2222"/>
      <c r="S2222"/>
      <c r="T2222"/>
    </row>
    <row r="2223" spans="1:20" ht="17.25" customHeight="1">
      <c r="A2223"/>
      <c r="B2223"/>
      <c r="P2223"/>
      <c r="R2223"/>
      <c r="S2223"/>
      <c r="T2223"/>
    </row>
    <row r="2224" spans="1:20" ht="17.25" customHeight="1">
      <c r="A2224"/>
      <c r="B2224"/>
      <c r="P2224"/>
      <c r="R2224"/>
      <c r="S2224"/>
      <c r="T2224"/>
    </row>
    <row r="2225" spans="1:20" ht="17.25" customHeight="1">
      <c r="A2225"/>
      <c r="B2225"/>
      <c r="P2225"/>
      <c r="R2225"/>
      <c r="S2225"/>
      <c r="T2225"/>
    </row>
    <row r="2226" spans="1:20" ht="17.25" customHeight="1">
      <c r="A2226"/>
      <c r="B2226"/>
      <c r="P2226"/>
      <c r="R2226"/>
      <c r="S2226"/>
      <c r="T2226"/>
    </row>
    <row r="2227" spans="1:20" ht="17.25" customHeight="1">
      <c r="A2227"/>
      <c r="B2227"/>
      <c r="P2227"/>
      <c r="R2227"/>
      <c r="S2227"/>
      <c r="T2227"/>
    </row>
    <row r="2228" spans="1:20" ht="17.25" customHeight="1">
      <c r="A2228"/>
      <c r="B2228"/>
      <c r="P2228"/>
      <c r="R2228"/>
      <c r="S2228"/>
      <c r="T2228"/>
    </row>
    <row r="2229" spans="1:20" ht="17.25" customHeight="1">
      <c r="A2229"/>
      <c r="B2229"/>
      <c r="P2229"/>
      <c r="R2229"/>
      <c r="S2229"/>
      <c r="T2229"/>
    </row>
    <row r="2230" spans="1:20" ht="17.25" customHeight="1">
      <c r="A2230"/>
      <c r="B2230"/>
      <c r="P2230"/>
      <c r="R2230"/>
      <c r="S2230"/>
      <c r="T2230"/>
    </row>
    <row r="2231" spans="1:20" ht="17.25" customHeight="1">
      <c r="A2231"/>
      <c r="B2231"/>
      <c r="P2231"/>
      <c r="R2231"/>
      <c r="S2231"/>
      <c r="T2231"/>
    </row>
    <row r="2232" spans="1:20" ht="17.25" customHeight="1">
      <c r="A2232"/>
      <c r="B2232"/>
      <c r="P2232"/>
      <c r="R2232"/>
      <c r="S2232"/>
      <c r="T2232"/>
    </row>
    <row r="2233" spans="1:20" ht="17.25" customHeight="1">
      <c r="A2233"/>
      <c r="B2233"/>
      <c r="P2233"/>
      <c r="R2233"/>
      <c r="S2233"/>
      <c r="T2233"/>
    </row>
    <row r="2234" spans="1:20" ht="17.25" customHeight="1">
      <c r="A2234"/>
      <c r="B2234"/>
      <c r="P2234"/>
      <c r="R2234"/>
      <c r="S2234"/>
      <c r="T2234"/>
    </row>
    <row r="2235" spans="1:20" ht="17.25" customHeight="1">
      <c r="A2235"/>
      <c r="B2235"/>
      <c r="P2235"/>
      <c r="R2235"/>
      <c r="S2235"/>
      <c r="T2235"/>
    </row>
    <row r="2236" spans="1:20" ht="17.25" customHeight="1">
      <c r="A2236"/>
      <c r="B2236"/>
      <c r="P2236"/>
      <c r="R2236"/>
      <c r="S2236"/>
      <c r="T2236"/>
    </row>
    <row r="2237" spans="1:20" ht="17.25" customHeight="1">
      <c r="A2237"/>
      <c r="B2237"/>
      <c r="P2237"/>
      <c r="R2237"/>
      <c r="S2237"/>
      <c r="T2237"/>
    </row>
    <row r="2238" spans="1:20" ht="17.25" customHeight="1">
      <c r="A2238"/>
      <c r="B2238"/>
      <c r="P2238"/>
      <c r="R2238"/>
      <c r="S2238"/>
      <c r="T2238"/>
    </row>
    <row r="2239" spans="1:20" ht="17.25" customHeight="1">
      <c r="A2239"/>
      <c r="B2239"/>
      <c r="P2239"/>
      <c r="R2239"/>
      <c r="S2239"/>
      <c r="T2239"/>
    </row>
    <row r="2240" spans="1:20" ht="17.25" customHeight="1">
      <c r="A2240"/>
      <c r="B2240"/>
      <c r="P2240"/>
      <c r="R2240"/>
      <c r="S2240"/>
      <c r="T2240"/>
    </row>
    <row r="2241" spans="1:20" ht="17.25" customHeight="1">
      <c r="A2241"/>
      <c r="B2241"/>
      <c r="P2241"/>
      <c r="R2241"/>
      <c r="S2241"/>
      <c r="T2241"/>
    </row>
    <row r="2242" spans="1:20" ht="17.25" customHeight="1">
      <c r="A2242"/>
      <c r="B2242"/>
      <c r="P2242"/>
      <c r="R2242"/>
      <c r="S2242"/>
      <c r="T2242"/>
    </row>
    <row r="2243" spans="1:20" ht="17.25" customHeight="1">
      <c r="A2243"/>
      <c r="B2243"/>
      <c r="P2243"/>
      <c r="R2243"/>
      <c r="S2243"/>
      <c r="T2243"/>
    </row>
    <row r="2244" spans="1:20" ht="17.25" customHeight="1">
      <c r="A2244"/>
      <c r="B2244"/>
      <c r="P2244"/>
      <c r="R2244"/>
      <c r="S2244"/>
      <c r="T2244"/>
    </row>
    <row r="2245" spans="1:20" ht="17.25" customHeight="1">
      <c r="A2245"/>
      <c r="B2245"/>
      <c r="P2245"/>
      <c r="R2245"/>
      <c r="S2245"/>
      <c r="T2245"/>
    </row>
    <row r="2246" spans="1:20" ht="17.25" customHeight="1">
      <c r="A2246"/>
      <c r="B2246"/>
      <c r="P2246"/>
      <c r="R2246"/>
      <c r="S2246"/>
      <c r="T2246"/>
    </row>
    <row r="2247" spans="1:20" ht="17.25" customHeight="1">
      <c r="A2247"/>
      <c r="B2247"/>
      <c r="P2247"/>
      <c r="R2247"/>
      <c r="S2247"/>
      <c r="T2247"/>
    </row>
    <row r="2248" spans="1:20" ht="17.25" customHeight="1">
      <c r="A2248"/>
      <c r="B2248"/>
      <c r="P2248"/>
      <c r="R2248"/>
      <c r="S2248"/>
      <c r="T2248"/>
    </row>
    <row r="2249" spans="1:20" ht="17.25" customHeight="1">
      <c r="A2249"/>
      <c r="B2249"/>
      <c r="P2249"/>
      <c r="R2249"/>
      <c r="S2249"/>
      <c r="T2249"/>
    </row>
    <row r="2250" spans="1:20" ht="17.25" customHeight="1">
      <c r="A2250"/>
      <c r="B2250"/>
      <c r="P2250"/>
      <c r="R2250"/>
      <c r="S2250"/>
      <c r="T2250"/>
    </row>
    <row r="2251" spans="1:20" ht="17.25" customHeight="1">
      <c r="A2251"/>
      <c r="B2251"/>
      <c r="P2251"/>
      <c r="R2251"/>
      <c r="S2251"/>
      <c r="T2251"/>
    </row>
    <row r="2252" spans="1:20" ht="17.25" customHeight="1">
      <c r="A2252"/>
      <c r="B2252"/>
      <c r="P2252"/>
      <c r="R2252"/>
      <c r="S2252"/>
      <c r="T2252"/>
    </row>
    <row r="2253" spans="1:20" ht="17.25" customHeight="1">
      <c r="A2253"/>
      <c r="B2253"/>
      <c r="P2253"/>
      <c r="R2253"/>
      <c r="S2253"/>
      <c r="T2253"/>
    </row>
    <row r="2254" spans="1:20" ht="17.25" customHeight="1">
      <c r="A2254"/>
      <c r="B2254"/>
      <c r="P2254"/>
      <c r="R2254"/>
      <c r="S2254"/>
      <c r="T2254"/>
    </row>
    <row r="2255" spans="1:20" ht="17.25" customHeight="1">
      <c r="A2255"/>
      <c r="B2255"/>
      <c r="P2255"/>
      <c r="R2255"/>
      <c r="S2255"/>
      <c r="T2255"/>
    </row>
    <row r="2256" spans="1:20" ht="17.25" customHeight="1">
      <c r="A2256"/>
      <c r="B2256"/>
      <c r="P2256"/>
      <c r="R2256"/>
      <c r="S2256"/>
      <c r="T2256"/>
    </row>
    <row r="2257" spans="1:20" ht="17.25" customHeight="1">
      <c r="A2257"/>
      <c r="B2257"/>
      <c r="P2257"/>
      <c r="R2257"/>
      <c r="S2257"/>
      <c r="T2257"/>
    </row>
    <row r="2258" spans="1:20" ht="17.25" customHeight="1">
      <c r="A2258"/>
      <c r="B2258"/>
      <c r="P2258"/>
      <c r="R2258"/>
      <c r="S2258"/>
      <c r="T2258"/>
    </row>
    <row r="2259" spans="1:20" ht="17.25" customHeight="1">
      <c r="A2259"/>
      <c r="B2259"/>
      <c r="P2259"/>
      <c r="R2259"/>
      <c r="S2259"/>
      <c r="T2259"/>
    </row>
    <row r="2260" spans="1:20" ht="17.25" customHeight="1">
      <c r="A2260"/>
      <c r="B2260"/>
      <c r="P2260"/>
      <c r="R2260"/>
      <c r="S2260"/>
      <c r="T2260"/>
    </row>
    <row r="2261" spans="1:20" ht="17.25" customHeight="1">
      <c r="A2261"/>
      <c r="B2261"/>
      <c r="P2261"/>
      <c r="R2261"/>
      <c r="S2261"/>
      <c r="T2261"/>
    </row>
    <row r="2262" spans="1:20" ht="17.25" customHeight="1">
      <c r="A2262"/>
      <c r="B2262"/>
      <c r="P2262"/>
      <c r="R2262"/>
      <c r="S2262"/>
      <c r="T2262"/>
    </row>
    <row r="2263" spans="1:20" ht="17.25" customHeight="1">
      <c r="A2263"/>
      <c r="B2263"/>
      <c r="P2263"/>
      <c r="R2263"/>
      <c r="S2263"/>
      <c r="T2263"/>
    </row>
    <row r="2264" spans="1:20" ht="17.25" customHeight="1">
      <c r="A2264"/>
      <c r="B2264"/>
      <c r="P2264"/>
      <c r="R2264"/>
      <c r="S2264"/>
      <c r="T2264"/>
    </row>
    <row r="2265" spans="1:20" ht="17.25" customHeight="1">
      <c r="A2265"/>
      <c r="B2265"/>
      <c r="P2265"/>
      <c r="R2265"/>
      <c r="S2265"/>
      <c r="T2265"/>
    </row>
    <row r="2266" spans="1:20" ht="17.25" customHeight="1">
      <c r="A2266"/>
      <c r="B2266"/>
      <c r="P2266"/>
      <c r="R2266"/>
      <c r="S2266"/>
      <c r="T2266"/>
    </row>
    <row r="2267" spans="1:20" ht="17.25" customHeight="1">
      <c r="A2267"/>
      <c r="B2267"/>
      <c r="P2267"/>
      <c r="R2267"/>
      <c r="S2267"/>
      <c r="T2267"/>
    </row>
    <row r="2268" spans="1:20" ht="17.25" customHeight="1">
      <c r="A2268"/>
      <c r="B2268"/>
      <c r="P2268"/>
      <c r="R2268"/>
      <c r="S2268"/>
      <c r="T2268"/>
    </row>
    <row r="2269" spans="1:20" ht="17.25" customHeight="1">
      <c r="A2269"/>
      <c r="B2269"/>
      <c r="P2269"/>
      <c r="R2269"/>
      <c r="S2269"/>
      <c r="T2269"/>
    </row>
    <row r="2270" spans="1:20" ht="17.25" customHeight="1">
      <c r="A2270"/>
      <c r="B2270"/>
      <c r="P2270"/>
      <c r="R2270"/>
      <c r="S2270"/>
      <c r="T2270"/>
    </row>
    <row r="2271" spans="1:20" ht="17.25" customHeight="1">
      <c r="A2271"/>
      <c r="B2271"/>
      <c r="P2271"/>
      <c r="R2271"/>
      <c r="S2271"/>
      <c r="T2271"/>
    </row>
    <row r="2272" spans="1:20" ht="17.25" customHeight="1">
      <c r="A2272"/>
      <c r="B2272"/>
      <c r="P2272"/>
      <c r="R2272"/>
      <c r="S2272"/>
      <c r="T2272"/>
    </row>
    <row r="2273" spans="1:20" ht="17.25" customHeight="1">
      <c r="A2273"/>
      <c r="B2273"/>
      <c r="P2273"/>
      <c r="R2273"/>
      <c r="S2273"/>
      <c r="T2273"/>
    </row>
    <row r="2274" spans="1:20" ht="17.25" customHeight="1">
      <c r="A2274"/>
      <c r="B2274"/>
      <c r="P2274"/>
      <c r="R2274"/>
      <c r="S2274"/>
      <c r="T2274"/>
    </row>
    <row r="2275" spans="1:20" ht="17.25" customHeight="1">
      <c r="A2275"/>
      <c r="B2275"/>
      <c r="P2275"/>
      <c r="R2275"/>
      <c r="S2275"/>
      <c r="T2275"/>
    </row>
    <row r="2276" spans="1:20" ht="17.25" customHeight="1">
      <c r="A2276"/>
      <c r="B2276"/>
      <c r="P2276"/>
      <c r="R2276"/>
      <c r="S2276"/>
      <c r="T2276"/>
    </row>
    <row r="2277" spans="1:20" ht="17.25" customHeight="1">
      <c r="A2277"/>
      <c r="B2277"/>
      <c r="P2277"/>
      <c r="R2277"/>
      <c r="S2277"/>
      <c r="T2277"/>
    </row>
    <row r="2278" spans="1:20" ht="17.25" customHeight="1">
      <c r="A2278"/>
      <c r="B2278"/>
      <c r="P2278"/>
      <c r="R2278"/>
      <c r="S2278"/>
      <c r="T2278"/>
    </row>
    <row r="2279" spans="1:20" ht="17.25" customHeight="1">
      <c r="A2279"/>
      <c r="B2279"/>
      <c r="P2279"/>
      <c r="R2279"/>
      <c r="S2279"/>
      <c r="T2279"/>
    </row>
    <row r="2280" spans="1:20" ht="17.25" customHeight="1">
      <c r="A2280"/>
      <c r="B2280"/>
      <c r="P2280"/>
      <c r="R2280"/>
      <c r="S2280"/>
      <c r="T2280"/>
    </row>
    <row r="2281" spans="1:20" ht="17.25" customHeight="1">
      <c r="A2281"/>
      <c r="B2281"/>
      <c r="P2281"/>
      <c r="R2281"/>
      <c r="S2281"/>
      <c r="T2281"/>
    </row>
    <row r="2282" spans="1:20" ht="17.25" customHeight="1">
      <c r="A2282"/>
      <c r="B2282"/>
      <c r="P2282"/>
      <c r="R2282"/>
      <c r="S2282"/>
      <c r="T2282"/>
    </row>
    <row r="2283" spans="1:20" ht="17.25" customHeight="1">
      <c r="A2283"/>
      <c r="B2283"/>
      <c r="P2283"/>
      <c r="R2283"/>
      <c r="S2283"/>
      <c r="T2283"/>
    </row>
    <row r="2284" spans="1:20" ht="17.25" customHeight="1">
      <c r="A2284"/>
      <c r="B2284"/>
      <c r="P2284"/>
      <c r="R2284"/>
      <c r="S2284"/>
      <c r="T2284"/>
    </row>
    <row r="2285" spans="1:20" ht="17.25" customHeight="1">
      <c r="A2285"/>
      <c r="B2285"/>
      <c r="P2285"/>
      <c r="R2285"/>
      <c r="S2285"/>
      <c r="T2285"/>
    </row>
    <row r="2286" spans="1:20" ht="17.25" customHeight="1">
      <c r="A2286"/>
      <c r="B2286"/>
      <c r="P2286"/>
      <c r="R2286"/>
      <c r="S2286"/>
      <c r="T2286"/>
    </row>
    <row r="2287" spans="1:20" ht="17.25" customHeight="1">
      <c r="A2287"/>
      <c r="B2287"/>
      <c r="P2287"/>
      <c r="R2287"/>
      <c r="S2287"/>
      <c r="T2287"/>
    </row>
    <row r="2288" spans="1:20" ht="17.25" customHeight="1">
      <c r="A2288"/>
      <c r="B2288"/>
      <c r="P2288"/>
      <c r="R2288"/>
      <c r="S2288"/>
      <c r="T2288"/>
    </row>
    <row r="2289" spans="1:20" ht="17.25" customHeight="1">
      <c r="A2289"/>
      <c r="B2289"/>
      <c r="P2289"/>
      <c r="R2289"/>
      <c r="S2289"/>
      <c r="T2289"/>
    </row>
    <row r="2290" spans="1:20" ht="17.25" customHeight="1">
      <c r="A2290"/>
      <c r="B2290"/>
      <c r="P2290"/>
      <c r="R2290"/>
      <c r="S2290"/>
      <c r="T2290"/>
    </row>
    <row r="2291" spans="1:20" ht="17.25" customHeight="1">
      <c r="A2291"/>
      <c r="B2291"/>
      <c r="P2291"/>
      <c r="R2291"/>
      <c r="S2291"/>
      <c r="T2291"/>
    </row>
    <row r="2292" spans="1:20" ht="17.25" customHeight="1">
      <c r="A2292"/>
      <c r="B2292"/>
      <c r="P2292"/>
      <c r="R2292"/>
      <c r="S2292"/>
      <c r="T2292"/>
    </row>
    <row r="2293" spans="1:20" ht="17.25" customHeight="1">
      <c r="A2293"/>
      <c r="B2293"/>
      <c r="P2293"/>
      <c r="R2293"/>
      <c r="S2293"/>
      <c r="T2293"/>
    </row>
    <row r="2294" spans="1:20" ht="17.25" customHeight="1">
      <c r="A2294"/>
      <c r="B2294"/>
      <c r="P2294"/>
      <c r="R2294"/>
      <c r="S2294"/>
      <c r="T2294"/>
    </row>
    <row r="2295" spans="1:20" ht="17.25" customHeight="1">
      <c r="A2295"/>
      <c r="B2295"/>
      <c r="P2295"/>
      <c r="R2295"/>
      <c r="S2295"/>
      <c r="T2295"/>
    </row>
    <row r="2296" spans="1:20" ht="17.25" customHeight="1">
      <c r="A2296"/>
      <c r="B2296"/>
      <c r="P2296"/>
      <c r="R2296"/>
      <c r="S2296"/>
      <c r="T2296"/>
    </row>
    <row r="2297" spans="1:20" ht="17.25" customHeight="1">
      <c r="A2297"/>
      <c r="B2297"/>
      <c r="P2297"/>
      <c r="R2297"/>
      <c r="S2297"/>
      <c r="T2297"/>
    </row>
    <row r="2298" spans="1:20" ht="17.25" customHeight="1">
      <c r="A2298"/>
      <c r="B2298"/>
      <c r="P2298"/>
      <c r="R2298"/>
      <c r="S2298"/>
      <c r="T2298"/>
    </row>
    <row r="2299" spans="1:20" ht="17.25" customHeight="1">
      <c r="A2299"/>
      <c r="B2299"/>
      <c r="P2299"/>
      <c r="R2299"/>
      <c r="S2299"/>
      <c r="T2299"/>
    </row>
    <row r="2300" spans="1:20" ht="17.25" customHeight="1">
      <c r="A2300"/>
      <c r="B2300"/>
      <c r="P2300"/>
      <c r="R2300"/>
      <c r="S2300"/>
      <c r="T2300"/>
    </row>
    <row r="2301" spans="1:20" ht="17.25" customHeight="1">
      <c r="A2301"/>
      <c r="B2301"/>
      <c r="P2301"/>
      <c r="R2301"/>
      <c r="S2301"/>
      <c r="T2301"/>
    </row>
    <row r="2302" spans="1:20" ht="17.25" customHeight="1">
      <c r="A2302"/>
      <c r="B2302"/>
      <c r="P2302"/>
      <c r="R2302"/>
      <c r="S2302"/>
      <c r="T2302"/>
    </row>
    <row r="2303" spans="1:20" ht="17.25" customHeight="1">
      <c r="A2303"/>
      <c r="B2303"/>
      <c r="P2303"/>
      <c r="R2303"/>
      <c r="S2303"/>
      <c r="T2303"/>
    </row>
    <row r="2304" spans="1:20" ht="17.25" customHeight="1">
      <c r="A2304"/>
      <c r="B2304"/>
      <c r="P2304"/>
      <c r="R2304"/>
      <c r="S2304"/>
      <c r="T2304"/>
    </row>
    <row r="2305" spans="1:20" ht="17.25" customHeight="1">
      <c r="A2305"/>
      <c r="B2305"/>
      <c r="P2305"/>
      <c r="R2305"/>
      <c r="S2305"/>
      <c r="T2305"/>
    </row>
    <row r="2306" spans="1:20" ht="17.25" customHeight="1">
      <c r="A2306"/>
      <c r="B2306"/>
      <c r="P2306"/>
      <c r="R2306"/>
      <c r="S2306"/>
      <c r="T2306"/>
    </row>
    <row r="2307" spans="1:20" ht="17.25" customHeight="1">
      <c r="A2307"/>
      <c r="B2307"/>
      <c r="P2307"/>
      <c r="R2307"/>
      <c r="S2307"/>
      <c r="T2307"/>
    </row>
    <row r="2308" spans="1:20" ht="17.25" customHeight="1">
      <c r="A2308"/>
      <c r="B2308"/>
      <c r="P2308"/>
      <c r="R2308"/>
      <c r="S2308"/>
      <c r="T2308"/>
    </row>
    <row r="2309" spans="1:20" ht="17.25" customHeight="1">
      <c r="A2309"/>
      <c r="B2309"/>
      <c r="P2309"/>
      <c r="R2309"/>
      <c r="S2309"/>
      <c r="T2309"/>
    </row>
    <row r="2310" spans="1:20" ht="17.25" customHeight="1">
      <c r="A2310"/>
      <c r="B2310"/>
      <c r="P2310"/>
      <c r="R2310"/>
      <c r="S2310"/>
      <c r="T2310"/>
    </row>
    <row r="2311" spans="1:20" ht="17.25" customHeight="1">
      <c r="A2311"/>
      <c r="B2311"/>
      <c r="P2311"/>
      <c r="R2311"/>
      <c r="S2311"/>
      <c r="T2311"/>
    </row>
    <row r="2312" spans="1:20" ht="17.25" customHeight="1">
      <c r="A2312"/>
      <c r="B2312"/>
      <c r="P2312"/>
      <c r="R2312"/>
      <c r="S2312"/>
      <c r="T2312"/>
    </row>
    <row r="2313" spans="1:20" ht="17.25" customHeight="1">
      <c r="A2313"/>
      <c r="B2313"/>
      <c r="P2313"/>
      <c r="R2313"/>
      <c r="S2313"/>
      <c r="T2313"/>
    </row>
    <row r="2314" spans="1:20" ht="17.25" customHeight="1">
      <c r="A2314"/>
      <c r="B2314"/>
      <c r="P2314"/>
      <c r="R2314"/>
      <c r="S2314"/>
      <c r="T2314"/>
    </row>
    <row r="2315" spans="1:20" ht="17.25" customHeight="1">
      <c r="A2315"/>
      <c r="B2315"/>
      <c r="P2315"/>
      <c r="R2315"/>
      <c r="S2315"/>
      <c r="T2315"/>
    </row>
    <row r="2316" spans="1:20" ht="17.25" customHeight="1">
      <c r="A2316"/>
      <c r="B2316"/>
      <c r="P2316"/>
      <c r="R2316"/>
      <c r="S2316"/>
      <c r="T2316"/>
    </row>
    <row r="2317" spans="1:20" ht="17.25" customHeight="1">
      <c r="A2317"/>
      <c r="B2317"/>
      <c r="P2317"/>
      <c r="R2317"/>
      <c r="S2317"/>
      <c r="T2317"/>
    </row>
    <row r="2318" spans="1:20" ht="17.25" customHeight="1">
      <c r="A2318"/>
      <c r="B2318"/>
      <c r="P2318"/>
      <c r="R2318"/>
      <c r="S2318"/>
      <c r="T2318"/>
    </row>
    <row r="2319" spans="1:20" ht="17.25" customHeight="1">
      <c r="A2319"/>
      <c r="B2319"/>
      <c r="P2319"/>
      <c r="R2319"/>
      <c r="S2319"/>
      <c r="T2319"/>
    </row>
    <row r="2320" spans="1:20" ht="17.25" customHeight="1">
      <c r="A2320"/>
      <c r="B2320"/>
      <c r="P2320"/>
      <c r="R2320"/>
      <c r="S2320"/>
      <c r="T2320"/>
    </row>
    <row r="2321" spans="1:20" ht="17.25" customHeight="1">
      <c r="A2321"/>
      <c r="B2321"/>
      <c r="P2321"/>
      <c r="R2321"/>
      <c r="S2321"/>
      <c r="T2321"/>
    </row>
    <row r="2322" spans="1:20" ht="17.25" customHeight="1">
      <c r="A2322"/>
      <c r="B2322"/>
      <c r="P2322"/>
      <c r="R2322"/>
      <c r="S2322"/>
      <c r="T2322"/>
    </row>
    <row r="2323" spans="1:20" ht="17.25" customHeight="1">
      <c r="A2323"/>
      <c r="B2323"/>
      <c r="P2323"/>
      <c r="R2323"/>
      <c r="S2323"/>
      <c r="T2323"/>
    </row>
    <row r="2324" spans="1:20" ht="17.25" customHeight="1">
      <c r="A2324"/>
      <c r="B2324"/>
      <c r="P2324"/>
      <c r="R2324"/>
      <c r="S2324"/>
      <c r="T2324"/>
    </row>
    <row r="2325" spans="1:20" ht="17.25" customHeight="1">
      <c r="A2325"/>
      <c r="B2325"/>
      <c r="P2325"/>
      <c r="R2325"/>
      <c r="S2325"/>
      <c r="T2325"/>
    </row>
    <row r="2326" spans="1:20" ht="17.25" customHeight="1">
      <c r="A2326"/>
      <c r="B2326"/>
      <c r="P2326"/>
      <c r="R2326"/>
      <c r="S2326"/>
      <c r="T2326"/>
    </row>
    <row r="2327" spans="1:20" ht="17.25" customHeight="1">
      <c r="A2327"/>
      <c r="B2327"/>
      <c r="P2327"/>
      <c r="R2327"/>
      <c r="S2327"/>
      <c r="T2327"/>
    </row>
    <row r="2328" spans="1:20" ht="17.25" customHeight="1">
      <c r="A2328"/>
      <c r="B2328"/>
      <c r="P2328"/>
      <c r="R2328"/>
      <c r="S2328"/>
      <c r="T2328"/>
    </row>
    <row r="2329" spans="1:20" ht="17.25" customHeight="1">
      <c r="A2329"/>
      <c r="B2329"/>
      <c r="P2329"/>
      <c r="R2329"/>
      <c r="S2329"/>
      <c r="T2329"/>
    </row>
    <row r="2330" spans="1:20" ht="17.25" customHeight="1">
      <c r="A2330"/>
      <c r="B2330"/>
      <c r="P2330"/>
      <c r="R2330"/>
      <c r="S2330"/>
      <c r="T2330"/>
    </row>
    <row r="2331" spans="1:20" ht="17.25" customHeight="1">
      <c r="A2331"/>
      <c r="B2331"/>
      <c r="P2331"/>
      <c r="R2331"/>
      <c r="S2331"/>
      <c r="T2331"/>
    </row>
    <row r="2332" spans="1:20" ht="17.25" customHeight="1">
      <c r="A2332"/>
      <c r="B2332"/>
      <c r="P2332"/>
      <c r="R2332"/>
      <c r="S2332"/>
      <c r="T2332"/>
    </row>
    <row r="2333" spans="1:20" ht="17.25" customHeight="1">
      <c r="A2333"/>
      <c r="B2333"/>
      <c r="P2333"/>
      <c r="R2333"/>
      <c r="S2333"/>
      <c r="T2333"/>
    </row>
    <row r="2334" spans="1:20" ht="17.25" customHeight="1">
      <c r="A2334"/>
      <c r="B2334"/>
      <c r="P2334"/>
      <c r="R2334"/>
      <c r="S2334"/>
      <c r="T2334"/>
    </row>
    <row r="2335" spans="1:20" ht="17.25" customHeight="1">
      <c r="A2335"/>
      <c r="B2335"/>
      <c r="P2335"/>
      <c r="R2335"/>
      <c r="S2335"/>
      <c r="T2335"/>
    </row>
    <row r="2336" spans="1:20" ht="17.25" customHeight="1">
      <c r="A2336"/>
      <c r="B2336"/>
      <c r="P2336"/>
      <c r="R2336"/>
      <c r="S2336"/>
      <c r="T2336"/>
    </row>
    <row r="2337" spans="1:20" ht="17.25" customHeight="1">
      <c r="A2337"/>
      <c r="B2337"/>
      <c r="P2337"/>
      <c r="R2337"/>
      <c r="S2337"/>
      <c r="T2337"/>
    </row>
    <row r="2338" spans="1:20" ht="17.25" customHeight="1">
      <c r="A2338"/>
      <c r="B2338"/>
      <c r="P2338"/>
      <c r="R2338"/>
      <c r="S2338"/>
      <c r="T2338"/>
    </row>
    <row r="2339" spans="1:20" ht="17.25" customHeight="1">
      <c r="A2339"/>
      <c r="B2339"/>
      <c r="P2339"/>
      <c r="R2339"/>
      <c r="S2339"/>
      <c r="T2339"/>
    </row>
    <row r="2340" spans="1:20" ht="17.25" customHeight="1">
      <c r="A2340"/>
      <c r="B2340"/>
      <c r="P2340"/>
      <c r="R2340"/>
      <c r="S2340"/>
      <c r="T2340"/>
    </row>
    <row r="2341" spans="1:20" ht="17.25" customHeight="1">
      <c r="A2341"/>
      <c r="B2341"/>
      <c r="P2341"/>
      <c r="R2341"/>
      <c r="S2341"/>
      <c r="T2341"/>
    </row>
    <row r="2342" spans="1:20" ht="17.25" customHeight="1">
      <c r="A2342"/>
      <c r="B2342"/>
      <c r="P2342"/>
      <c r="R2342"/>
      <c r="S2342"/>
      <c r="T2342"/>
    </row>
    <row r="2343" spans="1:20" ht="17.25" customHeight="1">
      <c r="A2343"/>
      <c r="B2343"/>
      <c r="P2343"/>
      <c r="R2343"/>
      <c r="S2343"/>
      <c r="T2343"/>
    </row>
    <row r="2344" spans="1:20" ht="17.25" customHeight="1">
      <c r="A2344"/>
      <c r="B2344"/>
      <c r="P2344"/>
      <c r="R2344"/>
      <c r="S2344"/>
      <c r="T2344"/>
    </row>
    <row r="2345" spans="1:20" ht="17.25" customHeight="1">
      <c r="A2345"/>
      <c r="B2345"/>
      <c r="P2345"/>
      <c r="R2345"/>
      <c r="S2345"/>
      <c r="T2345"/>
    </row>
    <row r="2346" spans="1:20" ht="17.25" customHeight="1">
      <c r="A2346"/>
      <c r="B2346"/>
      <c r="P2346"/>
      <c r="R2346"/>
      <c r="S2346"/>
      <c r="T2346"/>
    </row>
    <row r="2347" spans="1:20" ht="17.25" customHeight="1">
      <c r="A2347"/>
      <c r="B2347"/>
      <c r="P2347"/>
      <c r="R2347"/>
      <c r="S2347"/>
      <c r="T2347"/>
    </row>
    <row r="2348" spans="1:20" ht="17.25" customHeight="1">
      <c r="A2348"/>
      <c r="B2348"/>
      <c r="P2348"/>
      <c r="R2348"/>
      <c r="S2348"/>
      <c r="T2348"/>
    </row>
    <row r="2349" spans="1:20" ht="17.25" customHeight="1">
      <c r="A2349"/>
      <c r="B2349"/>
      <c r="P2349"/>
      <c r="R2349"/>
      <c r="S2349"/>
      <c r="T2349"/>
    </row>
    <row r="2350" spans="1:20" ht="17.25" customHeight="1">
      <c r="A2350"/>
      <c r="B2350"/>
      <c r="P2350"/>
      <c r="R2350"/>
      <c r="S2350"/>
      <c r="T2350"/>
    </row>
    <row r="2351" spans="1:20" ht="17.25" customHeight="1">
      <c r="A2351"/>
      <c r="B2351"/>
      <c r="P2351"/>
      <c r="R2351"/>
      <c r="S2351"/>
      <c r="T2351"/>
    </row>
    <row r="2352" spans="1:20" ht="17.25" customHeight="1">
      <c r="A2352"/>
      <c r="B2352"/>
      <c r="P2352"/>
      <c r="R2352"/>
      <c r="S2352"/>
      <c r="T2352"/>
    </row>
    <row r="2353" spans="1:20" ht="17.25" customHeight="1">
      <c r="A2353"/>
      <c r="B2353"/>
      <c r="P2353"/>
      <c r="R2353"/>
      <c r="S2353"/>
      <c r="T2353"/>
    </row>
    <row r="2354" spans="1:20" ht="17.25" customHeight="1">
      <c r="A2354"/>
      <c r="B2354"/>
      <c r="P2354"/>
      <c r="R2354"/>
      <c r="S2354"/>
      <c r="T2354"/>
    </row>
    <row r="2355" spans="1:20" ht="17.25" customHeight="1">
      <c r="A2355"/>
      <c r="B2355"/>
      <c r="P2355"/>
      <c r="R2355"/>
      <c r="S2355"/>
      <c r="T2355"/>
    </row>
    <row r="2356" spans="1:20" ht="17.25" customHeight="1">
      <c r="A2356"/>
      <c r="B2356"/>
      <c r="P2356"/>
      <c r="R2356"/>
      <c r="S2356"/>
      <c r="T2356"/>
    </row>
    <row r="2357" spans="1:20" ht="17.25" customHeight="1">
      <c r="A2357"/>
      <c r="B2357"/>
      <c r="P2357"/>
      <c r="R2357"/>
      <c r="S2357"/>
      <c r="T2357"/>
    </row>
    <row r="2358" spans="1:20" ht="17.25" customHeight="1">
      <c r="A2358"/>
      <c r="B2358"/>
      <c r="P2358"/>
      <c r="R2358"/>
      <c r="S2358"/>
      <c r="T2358"/>
    </row>
    <row r="2359" spans="1:20" ht="17.25" customHeight="1">
      <c r="A2359"/>
      <c r="B2359"/>
      <c r="P2359"/>
      <c r="R2359"/>
      <c r="S2359"/>
      <c r="T2359"/>
    </row>
    <row r="2360" spans="1:20" ht="17.25" customHeight="1">
      <c r="A2360"/>
      <c r="B2360"/>
      <c r="P2360"/>
      <c r="R2360"/>
      <c r="S2360"/>
      <c r="T2360"/>
    </row>
    <row r="2361" spans="1:20" ht="17.25" customHeight="1">
      <c r="A2361"/>
      <c r="B2361"/>
      <c r="P2361"/>
      <c r="R2361"/>
      <c r="S2361"/>
      <c r="T2361"/>
    </row>
    <row r="2362" spans="1:20" ht="17.25" customHeight="1">
      <c r="A2362"/>
      <c r="B2362"/>
      <c r="P2362"/>
      <c r="R2362"/>
      <c r="S2362"/>
      <c r="T2362"/>
    </row>
    <row r="2363" spans="1:20" ht="17.25" customHeight="1">
      <c r="A2363"/>
      <c r="B2363"/>
      <c r="P2363"/>
      <c r="R2363"/>
      <c r="S2363"/>
      <c r="T2363"/>
    </row>
    <row r="2364" spans="1:20" ht="17.25" customHeight="1">
      <c r="A2364"/>
      <c r="B2364"/>
      <c r="P2364"/>
      <c r="R2364"/>
      <c r="S2364"/>
      <c r="T2364"/>
    </row>
    <row r="2365" spans="1:20" ht="17.25" customHeight="1">
      <c r="A2365"/>
      <c r="B2365"/>
      <c r="P2365"/>
      <c r="R2365"/>
      <c r="S2365"/>
      <c r="T2365"/>
    </row>
    <row r="2366" spans="1:20" ht="17.25" customHeight="1">
      <c r="A2366"/>
      <c r="B2366"/>
      <c r="P2366"/>
      <c r="R2366"/>
      <c r="S2366"/>
      <c r="T2366"/>
    </row>
    <row r="2367" spans="1:20" ht="17.25" customHeight="1">
      <c r="A2367"/>
      <c r="B2367"/>
      <c r="P2367"/>
      <c r="R2367"/>
      <c r="S2367"/>
      <c r="T2367"/>
    </row>
    <row r="2368" spans="1:20" ht="17.25" customHeight="1">
      <c r="A2368"/>
      <c r="B2368"/>
      <c r="P2368"/>
      <c r="R2368"/>
      <c r="S2368"/>
      <c r="T2368"/>
    </row>
    <row r="2369" spans="1:20" ht="17.25" customHeight="1">
      <c r="A2369"/>
      <c r="B2369"/>
      <c r="P2369"/>
      <c r="R2369"/>
      <c r="S2369"/>
      <c r="T2369"/>
    </row>
    <row r="2370" spans="1:20" ht="17.25" customHeight="1">
      <c r="A2370"/>
      <c r="B2370"/>
      <c r="P2370"/>
      <c r="R2370"/>
      <c r="S2370"/>
      <c r="T2370"/>
    </row>
    <row r="2371" spans="1:20" ht="17.25" customHeight="1">
      <c r="A2371"/>
      <c r="B2371"/>
      <c r="P2371"/>
      <c r="R2371"/>
      <c r="S2371"/>
      <c r="T2371"/>
    </row>
    <row r="2372" spans="1:20" ht="17.25" customHeight="1">
      <c r="A2372"/>
      <c r="B2372"/>
      <c r="P2372"/>
      <c r="R2372"/>
      <c r="S2372"/>
      <c r="T2372"/>
    </row>
    <row r="2373" spans="1:20" ht="17.25" customHeight="1">
      <c r="A2373"/>
      <c r="B2373"/>
      <c r="P2373"/>
      <c r="R2373"/>
      <c r="S2373"/>
      <c r="T2373"/>
    </row>
    <row r="2374" spans="1:20" ht="17.25" customHeight="1">
      <c r="A2374"/>
      <c r="B2374"/>
      <c r="P2374"/>
      <c r="R2374"/>
      <c r="S2374"/>
      <c r="T2374"/>
    </row>
    <row r="2375" spans="1:20" ht="17.25" customHeight="1">
      <c r="A2375"/>
      <c r="B2375"/>
      <c r="P2375"/>
      <c r="R2375"/>
      <c r="S2375"/>
      <c r="T2375"/>
    </row>
    <row r="2376" spans="1:20" ht="17.25" customHeight="1">
      <c r="A2376"/>
      <c r="B2376"/>
      <c r="P2376"/>
      <c r="R2376"/>
      <c r="S2376"/>
      <c r="T2376"/>
    </row>
    <row r="2377" spans="1:20" ht="17.25" customHeight="1">
      <c r="A2377"/>
      <c r="B2377"/>
      <c r="P2377"/>
      <c r="R2377"/>
      <c r="S2377"/>
      <c r="T2377"/>
    </row>
    <row r="2378" spans="1:20" ht="17.25" customHeight="1">
      <c r="A2378"/>
      <c r="B2378"/>
      <c r="P2378"/>
      <c r="R2378"/>
      <c r="S2378"/>
      <c r="T2378"/>
    </row>
    <row r="2379" spans="1:20" ht="17.25" customHeight="1">
      <c r="A2379"/>
      <c r="B2379"/>
      <c r="P2379"/>
      <c r="R2379"/>
      <c r="S2379"/>
      <c r="T2379"/>
    </row>
    <row r="2380" spans="1:20" ht="17.25" customHeight="1">
      <c r="A2380"/>
      <c r="B2380"/>
      <c r="P2380"/>
      <c r="R2380"/>
      <c r="S2380"/>
      <c r="T2380"/>
    </row>
    <row r="2381" spans="1:20" ht="17.25" customHeight="1">
      <c r="A2381"/>
      <c r="B2381"/>
      <c r="P2381"/>
      <c r="R2381"/>
      <c r="S2381"/>
      <c r="T2381"/>
    </row>
    <row r="2382" spans="1:20" ht="17.25" customHeight="1">
      <c r="A2382"/>
      <c r="B2382"/>
      <c r="P2382"/>
      <c r="R2382"/>
      <c r="S2382"/>
      <c r="T2382"/>
    </row>
    <row r="2383" spans="1:20" ht="17.25" customHeight="1">
      <c r="A2383"/>
      <c r="B2383"/>
      <c r="P2383"/>
      <c r="R2383"/>
      <c r="S2383"/>
      <c r="T2383"/>
    </row>
    <row r="2384" spans="1:20" ht="17.25" customHeight="1">
      <c r="A2384"/>
      <c r="B2384"/>
      <c r="P2384"/>
      <c r="R2384"/>
      <c r="S2384"/>
      <c r="T2384"/>
    </row>
    <row r="2385" spans="1:20" ht="17.25" customHeight="1">
      <c r="A2385"/>
      <c r="B2385"/>
      <c r="P2385"/>
      <c r="R2385"/>
      <c r="S2385"/>
      <c r="T2385"/>
    </row>
    <row r="2386" spans="1:20" ht="17.25" customHeight="1">
      <c r="A2386"/>
      <c r="B2386"/>
      <c r="P2386"/>
      <c r="R2386"/>
      <c r="S2386"/>
      <c r="T2386"/>
    </row>
    <row r="2387" spans="1:20" ht="17.25" customHeight="1">
      <c r="A2387"/>
      <c r="B2387"/>
      <c r="P2387"/>
      <c r="R2387"/>
      <c r="S2387"/>
      <c r="T2387"/>
    </row>
    <row r="2388" spans="1:20" ht="17.25" customHeight="1">
      <c r="A2388"/>
      <c r="B2388"/>
      <c r="P2388"/>
      <c r="R2388"/>
      <c r="S2388"/>
      <c r="T2388"/>
    </row>
    <row r="2389" spans="1:20" ht="17.25" customHeight="1">
      <c r="A2389"/>
      <c r="B2389"/>
      <c r="P2389"/>
      <c r="R2389"/>
      <c r="S2389"/>
      <c r="T2389"/>
    </row>
    <row r="2390" spans="1:20" ht="17.25" customHeight="1">
      <c r="A2390"/>
      <c r="B2390"/>
      <c r="P2390"/>
      <c r="R2390"/>
      <c r="S2390"/>
      <c r="T2390"/>
    </row>
    <row r="2391" spans="1:20" ht="17.25" customHeight="1">
      <c r="A2391"/>
      <c r="B2391"/>
      <c r="P2391"/>
      <c r="R2391"/>
      <c r="S2391"/>
      <c r="T2391"/>
    </row>
    <row r="2392" spans="1:20" ht="17.25" customHeight="1">
      <c r="A2392"/>
      <c r="B2392"/>
      <c r="P2392"/>
      <c r="R2392"/>
      <c r="S2392"/>
      <c r="T2392"/>
    </row>
    <row r="2393" spans="1:20" ht="17.25" customHeight="1">
      <c r="A2393"/>
      <c r="B2393"/>
      <c r="P2393"/>
      <c r="R2393"/>
      <c r="S2393"/>
      <c r="T2393"/>
    </row>
    <row r="2394" spans="1:20" ht="17.25" customHeight="1">
      <c r="A2394"/>
      <c r="B2394"/>
      <c r="P2394"/>
      <c r="R2394"/>
      <c r="S2394"/>
      <c r="T2394"/>
    </row>
    <row r="2395" spans="1:20" ht="17.25" customHeight="1">
      <c r="A2395"/>
      <c r="B2395"/>
      <c r="P2395"/>
      <c r="R2395"/>
      <c r="S2395"/>
      <c r="T2395"/>
    </row>
    <row r="2396" spans="1:20" ht="17.25" customHeight="1">
      <c r="A2396"/>
      <c r="B2396"/>
      <c r="P2396"/>
      <c r="R2396"/>
      <c r="S2396"/>
      <c r="T2396"/>
    </row>
    <row r="2397" spans="1:20" ht="17.25" customHeight="1">
      <c r="A2397"/>
      <c r="B2397"/>
      <c r="P2397"/>
      <c r="R2397"/>
      <c r="S2397"/>
      <c r="T2397"/>
    </row>
    <row r="2398" spans="1:20" ht="17.25" customHeight="1">
      <c r="A2398"/>
      <c r="B2398"/>
      <c r="P2398"/>
      <c r="R2398"/>
      <c r="S2398"/>
      <c r="T2398"/>
    </row>
    <row r="2399" spans="1:20" ht="17.25" customHeight="1">
      <c r="A2399"/>
      <c r="B2399"/>
      <c r="P2399"/>
      <c r="R2399"/>
      <c r="S2399"/>
      <c r="T2399"/>
    </row>
    <row r="2400" spans="1:20" ht="17.25" customHeight="1">
      <c r="A2400"/>
      <c r="B2400"/>
      <c r="P2400"/>
      <c r="R2400"/>
      <c r="S2400"/>
      <c r="T2400"/>
    </row>
    <row r="2401" spans="1:20" ht="17.25" customHeight="1">
      <c r="A2401"/>
      <c r="B2401"/>
      <c r="P2401"/>
      <c r="R2401"/>
      <c r="S2401"/>
      <c r="T2401"/>
    </row>
    <row r="2402" spans="1:20" ht="17.25" customHeight="1">
      <c r="A2402"/>
      <c r="B2402"/>
      <c r="P2402"/>
      <c r="R2402"/>
      <c r="S2402"/>
      <c r="T2402"/>
    </row>
    <row r="2403" spans="1:20" ht="17.25" customHeight="1">
      <c r="A2403"/>
      <c r="B2403"/>
      <c r="P2403"/>
      <c r="R2403"/>
      <c r="S2403"/>
      <c r="T2403"/>
    </row>
    <row r="2404" spans="1:20" ht="17.25" customHeight="1">
      <c r="A2404"/>
      <c r="B2404"/>
      <c r="P2404"/>
      <c r="R2404"/>
      <c r="S2404"/>
      <c r="T2404"/>
    </row>
    <row r="2405" spans="1:20" ht="17.25" customHeight="1">
      <c r="A2405"/>
      <c r="B2405"/>
      <c r="P2405"/>
      <c r="R2405"/>
      <c r="S2405"/>
      <c r="T2405"/>
    </row>
    <row r="2406" spans="1:20" ht="17.25" customHeight="1">
      <c r="A2406"/>
      <c r="B2406"/>
      <c r="P2406"/>
      <c r="R2406"/>
      <c r="S2406"/>
      <c r="T2406"/>
    </row>
    <row r="2407" spans="1:20" ht="17.25" customHeight="1">
      <c r="A2407"/>
      <c r="B2407"/>
      <c r="P2407"/>
      <c r="R2407"/>
      <c r="S2407"/>
      <c r="T2407"/>
    </row>
    <row r="2408" spans="1:20" ht="17.25" customHeight="1">
      <c r="A2408"/>
      <c r="B2408"/>
      <c r="P2408"/>
      <c r="R2408"/>
      <c r="S2408"/>
      <c r="T2408"/>
    </row>
    <row r="2409" spans="1:20" ht="17.25" customHeight="1">
      <c r="A2409"/>
      <c r="B2409"/>
      <c r="P2409"/>
      <c r="R2409"/>
      <c r="S2409"/>
      <c r="T2409"/>
    </row>
    <row r="2410" spans="1:20" ht="17.25" customHeight="1">
      <c r="A2410"/>
      <c r="B2410"/>
      <c r="P2410"/>
      <c r="R2410"/>
      <c r="S2410"/>
      <c r="T2410"/>
    </row>
    <row r="2411" spans="1:20" ht="17.25" customHeight="1">
      <c r="A2411"/>
      <c r="B2411"/>
      <c r="P2411"/>
      <c r="R2411"/>
      <c r="S2411"/>
      <c r="T2411"/>
    </row>
    <row r="2412" spans="1:20" ht="17.25" customHeight="1">
      <c r="A2412"/>
      <c r="B2412"/>
      <c r="P2412"/>
      <c r="R2412"/>
      <c r="S2412"/>
      <c r="T2412"/>
    </row>
    <row r="2413" spans="1:20" ht="17.25" customHeight="1">
      <c r="A2413"/>
      <c r="B2413"/>
      <c r="P2413"/>
      <c r="R2413"/>
      <c r="S2413"/>
      <c r="T2413"/>
    </row>
    <row r="2414" spans="1:20" ht="17.25" customHeight="1">
      <c r="A2414"/>
      <c r="B2414"/>
      <c r="P2414"/>
      <c r="R2414"/>
      <c r="S2414"/>
      <c r="T2414"/>
    </row>
    <row r="2415" spans="1:20" ht="17.25" customHeight="1">
      <c r="A2415"/>
      <c r="B2415"/>
      <c r="P2415"/>
      <c r="R2415"/>
      <c r="S2415"/>
      <c r="T2415"/>
    </row>
    <row r="2416" spans="1:20" ht="17.25" customHeight="1">
      <c r="A2416"/>
      <c r="B2416"/>
      <c r="P2416"/>
      <c r="R2416"/>
      <c r="S2416"/>
      <c r="T2416"/>
    </row>
    <row r="2417" spans="1:20" ht="17.25" customHeight="1">
      <c r="A2417"/>
      <c r="B2417"/>
      <c r="P2417"/>
      <c r="R2417"/>
      <c r="S2417"/>
      <c r="T2417"/>
    </row>
    <row r="2418" spans="1:20" ht="17.25" customHeight="1">
      <c r="A2418"/>
      <c r="B2418"/>
      <c r="P2418"/>
      <c r="R2418"/>
      <c r="S2418"/>
      <c r="T2418"/>
    </row>
    <row r="2419" spans="1:20" ht="17.25" customHeight="1">
      <c r="A2419"/>
      <c r="B2419"/>
      <c r="P2419"/>
      <c r="R2419"/>
      <c r="S2419"/>
      <c r="T2419"/>
    </row>
    <row r="2420" spans="1:20" ht="17.25" customHeight="1">
      <c r="A2420"/>
      <c r="B2420"/>
      <c r="P2420"/>
      <c r="R2420"/>
      <c r="S2420"/>
      <c r="T2420"/>
    </row>
    <row r="2421" spans="1:20" ht="17.25" customHeight="1">
      <c r="A2421"/>
      <c r="B2421"/>
      <c r="P2421"/>
      <c r="R2421"/>
      <c r="S2421"/>
      <c r="T2421"/>
    </row>
    <row r="2422" spans="1:20" ht="17.25" customHeight="1">
      <c r="A2422"/>
      <c r="B2422"/>
      <c r="P2422"/>
      <c r="R2422"/>
      <c r="S2422"/>
      <c r="T2422"/>
    </row>
    <row r="2423" spans="1:20" ht="17.25" customHeight="1">
      <c r="A2423"/>
      <c r="B2423"/>
      <c r="P2423"/>
      <c r="R2423"/>
      <c r="S2423"/>
      <c r="T2423"/>
    </row>
    <row r="2424" spans="1:20" ht="17.25" customHeight="1">
      <c r="A2424"/>
      <c r="B2424"/>
      <c r="P2424"/>
      <c r="R2424"/>
      <c r="S2424"/>
      <c r="T2424"/>
    </row>
    <row r="2425" spans="1:20" ht="17.25" customHeight="1">
      <c r="A2425"/>
      <c r="B2425"/>
      <c r="P2425"/>
      <c r="R2425"/>
      <c r="S2425"/>
      <c r="T2425"/>
    </row>
    <row r="2426" spans="1:20" ht="17.25" customHeight="1">
      <c r="A2426"/>
      <c r="B2426"/>
      <c r="P2426"/>
      <c r="R2426"/>
      <c r="S2426"/>
      <c r="T2426"/>
    </row>
    <row r="2427" spans="1:20" ht="17.25" customHeight="1">
      <c r="A2427"/>
      <c r="B2427"/>
      <c r="P2427"/>
      <c r="R2427"/>
      <c r="S2427"/>
      <c r="T2427"/>
    </row>
    <row r="2428" spans="1:20" ht="17.25" customHeight="1">
      <c r="A2428"/>
      <c r="B2428"/>
      <c r="P2428"/>
      <c r="R2428"/>
      <c r="S2428"/>
      <c r="T2428"/>
    </row>
    <row r="2429" spans="1:20" ht="17.25" customHeight="1">
      <c r="A2429"/>
      <c r="B2429"/>
      <c r="P2429"/>
      <c r="R2429"/>
      <c r="S2429"/>
      <c r="T2429"/>
    </row>
    <row r="2430" spans="1:20" ht="17.25" customHeight="1">
      <c r="A2430"/>
      <c r="B2430"/>
      <c r="P2430"/>
      <c r="R2430"/>
      <c r="S2430"/>
      <c r="T2430"/>
    </row>
    <row r="2431" spans="1:20" ht="17.25" customHeight="1">
      <c r="A2431"/>
      <c r="B2431"/>
      <c r="P2431"/>
      <c r="R2431"/>
      <c r="S2431"/>
      <c r="T2431"/>
    </row>
    <row r="2432" spans="1:20" ht="17.25" customHeight="1">
      <c r="A2432"/>
      <c r="B2432"/>
      <c r="P2432"/>
      <c r="R2432"/>
      <c r="S2432"/>
      <c r="T2432"/>
    </row>
    <row r="2433" spans="1:20" ht="17.25" customHeight="1">
      <c r="A2433"/>
      <c r="B2433"/>
      <c r="P2433"/>
      <c r="R2433"/>
      <c r="S2433"/>
      <c r="T2433"/>
    </row>
    <row r="2434" spans="1:20" ht="17.25" customHeight="1">
      <c r="A2434"/>
      <c r="B2434"/>
      <c r="P2434"/>
      <c r="R2434"/>
      <c r="S2434"/>
      <c r="T2434"/>
    </row>
    <row r="2435" spans="1:20" ht="17.25" customHeight="1">
      <c r="A2435"/>
      <c r="B2435"/>
      <c r="P2435"/>
      <c r="R2435"/>
      <c r="S2435"/>
      <c r="T2435"/>
    </row>
    <row r="2436" spans="1:20" ht="17.25" customHeight="1">
      <c r="A2436"/>
      <c r="B2436"/>
      <c r="P2436"/>
      <c r="R2436"/>
      <c r="S2436"/>
      <c r="T2436"/>
    </row>
    <row r="2437" spans="1:20" ht="17.25" customHeight="1">
      <c r="A2437"/>
      <c r="B2437"/>
      <c r="P2437"/>
      <c r="R2437"/>
      <c r="S2437"/>
      <c r="T2437"/>
    </row>
    <row r="2438" spans="1:20" ht="17.25" customHeight="1">
      <c r="A2438"/>
      <c r="B2438"/>
      <c r="P2438"/>
      <c r="R2438"/>
      <c r="S2438"/>
      <c r="T2438"/>
    </row>
    <row r="2439" spans="1:20" ht="17.25" customHeight="1">
      <c r="A2439"/>
      <c r="B2439"/>
      <c r="P2439"/>
      <c r="R2439"/>
      <c r="S2439"/>
      <c r="T2439"/>
    </row>
    <row r="2440" spans="1:20" ht="17.25" customHeight="1">
      <c r="A2440"/>
      <c r="B2440"/>
      <c r="P2440"/>
      <c r="R2440"/>
      <c r="S2440"/>
      <c r="T2440"/>
    </row>
    <row r="2441" spans="1:20" ht="17.25" customHeight="1">
      <c r="A2441"/>
      <c r="B2441"/>
      <c r="P2441"/>
      <c r="R2441"/>
      <c r="S2441"/>
      <c r="T2441"/>
    </row>
    <row r="2442" spans="1:20" ht="17.25" customHeight="1">
      <c r="A2442"/>
      <c r="B2442"/>
      <c r="P2442"/>
      <c r="R2442"/>
      <c r="S2442"/>
      <c r="T2442"/>
    </row>
    <row r="2443" spans="1:20" ht="17.25" customHeight="1">
      <c r="A2443"/>
      <c r="B2443"/>
      <c r="P2443"/>
      <c r="R2443"/>
      <c r="S2443"/>
      <c r="T2443"/>
    </row>
    <row r="2444" spans="1:20" ht="17.25" customHeight="1">
      <c r="A2444"/>
      <c r="B2444"/>
      <c r="P2444"/>
      <c r="R2444"/>
      <c r="S2444"/>
      <c r="T2444"/>
    </row>
    <row r="2445" spans="1:20" ht="17.25" customHeight="1">
      <c r="A2445"/>
      <c r="B2445"/>
      <c r="P2445"/>
      <c r="R2445"/>
      <c r="S2445"/>
      <c r="T2445"/>
    </row>
    <row r="2446" spans="1:20" ht="17.25" customHeight="1">
      <c r="A2446"/>
      <c r="B2446"/>
      <c r="P2446"/>
      <c r="R2446"/>
      <c r="S2446"/>
      <c r="T2446"/>
    </row>
    <row r="2447" spans="1:20" ht="17.25" customHeight="1">
      <c r="A2447"/>
      <c r="B2447"/>
      <c r="P2447"/>
      <c r="R2447"/>
      <c r="S2447"/>
      <c r="T2447"/>
    </row>
    <row r="2448" spans="1:20" ht="17.25" customHeight="1">
      <c r="A2448"/>
      <c r="B2448"/>
      <c r="P2448"/>
      <c r="R2448"/>
      <c r="S2448"/>
      <c r="T2448"/>
    </row>
    <row r="2449" spans="1:20" ht="17.25" customHeight="1">
      <c r="A2449"/>
      <c r="B2449"/>
      <c r="P2449"/>
      <c r="R2449"/>
      <c r="S2449"/>
      <c r="T2449"/>
    </row>
    <row r="2450" spans="1:20" ht="17.25" customHeight="1">
      <c r="A2450"/>
      <c r="B2450"/>
      <c r="P2450"/>
      <c r="R2450"/>
      <c r="S2450"/>
      <c r="T2450"/>
    </row>
    <row r="2451" spans="1:20" ht="17.25" customHeight="1">
      <c r="A2451"/>
      <c r="B2451"/>
      <c r="P2451"/>
      <c r="R2451"/>
      <c r="S2451"/>
      <c r="T2451"/>
    </row>
    <row r="2452" spans="1:20" ht="17.25" customHeight="1">
      <c r="A2452"/>
      <c r="B2452"/>
      <c r="P2452"/>
      <c r="R2452"/>
      <c r="S2452"/>
      <c r="T2452"/>
    </row>
    <row r="2453" spans="1:20" ht="17.25" customHeight="1">
      <c r="A2453"/>
      <c r="B2453"/>
      <c r="P2453"/>
      <c r="R2453"/>
      <c r="S2453"/>
      <c r="T2453"/>
    </row>
    <row r="2454" spans="1:20" ht="17.25" customHeight="1">
      <c r="A2454"/>
      <c r="B2454"/>
      <c r="P2454"/>
      <c r="R2454"/>
      <c r="S2454"/>
      <c r="T2454"/>
    </row>
    <row r="2455" spans="1:20" ht="17.25" customHeight="1">
      <c r="A2455"/>
      <c r="B2455"/>
      <c r="P2455"/>
      <c r="R2455"/>
      <c r="S2455"/>
      <c r="T2455"/>
    </row>
    <row r="2456" spans="1:20" ht="17.25" customHeight="1">
      <c r="A2456"/>
      <c r="B2456"/>
      <c r="P2456"/>
      <c r="R2456"/>
      <c r="S2456"/>
      <c r="T2456"/>
    </row>
    <row r="2457" spans="1:20" ht="17.25" customHeight="1">
      <c r="A2457"/>
      <c r="B2457"/>
      <c r="P2457"/>
      <c r="R2457"/>
      <c r="S2457"/>
      <c r="T2457"/>
    </row>
    <row r="2458" spans="1:20" ht="17.25" customHeight="1">
      <c r="A2458"/>
      <c r="B2458"/>
      <c r="P2458"/>
      <c r="R2458"/>
      <c r="S2458"/>
      <c r="T2458"/>
    </row>
    <row r="2459" spans="1:20" ht="17.25" customHeight="1">
      <c r="A2459"/>
      <c r="B2459"/>
      <c r="P2459"/>
      <c r="R2459"/>
      <c r="S2459"/>
      <c r="T2459"/>
    </row>
    <row r="2460" spans="1:20" ht="17.25" customHeight="1">
      <c r="A2460"/>
      <c r="B2460"/>
      <c r="P2460"/>
      <c r="R2460"/>
      <c r="S2460"/>
      <c r="T2460"/>
    </row>
    <row r="2461" spans="1:20" ht="17.25" customHeight="1">
      <c r="A2461"/>
      <c r="B2461"/>
      <c r="P2461"/>
      <c r="R2461"/>
      <c r="S2461"/>
      <c r="T2461"/>
    </row>
    <row r="2462" spans="1:20" ht="17.25" customHeight="1">
      <c r="A2462"/>
      <c r="B2462"/>
      <c r="P2462"/>
      <c r="R2462"/>
      <c r="S2462"/>
      <c r="T2462"/>
    </row>
    <row r="2463" spans="1:20" ht="17.25" customHeight="1">
      <c r="A2463"/>
      <c r="B2463"/>
      <c r="P2463"/>
      <c r="R2463"/>
      <c r="S2463"/>
      <c r="T2463"/>
    </row>
    <row r="2464" spans="1:20" ht="17.25" customHeight="1">
      <c r="A2464"/>
      <c r="B2464"/>
      <c r="P2464"/>
      <c r="R2464"/>
      <c r="S2464"/>
      <c r="T2464"/>
    </row>
    <row r="2465" spans="1:20" ht="17.25" customHeight="1">
      <c r="A2465"/>
      <c r="B2465"/>
      <c r="P2465"/>
      <c r="R2465"/>
      <c r="S2465"/>
      <c r="T2465"/>
    </row>
    <row r="2466" spans="1:20" ht="17.25" customHeight="1">
      <c r="A2466"/>
      <c r="B2466"/>
      <c r="P2466"/>
      <c r="R2466"/>
      <c r="S2466"/>
      <c r="T2466"/>
    </row>
    <row r="2467" spans="1:20" ht="17.25" customHeight="1">
      <c r="A2467"/>
      <c r="B2467"/>
      <c r="P2467"/>
      <c r="R2467"/>
      <c r="S2467"/>
      <c r="T2467"/>
    </row>
    <row r="2468" spans="1:20" ht="17.25" customHeight="1">
      <c r="A2468"/>
      <c r="B2468"/>
      <c r="P2468"/>
      <c r="R2468"/>
      <c r="S2468"/>
      <c r="T2468"/>
    </row>
    <row r="2469" spans="1:20" ht="17.25" customHeight="1">
      <c r="A2469"/>
      <c r="B2469"/>
      <c r="P2469"/>
      <c r="R2469"/>
      <c r="S2469"/>
      <c r="T2469"/>
    </row>
    <row r="2470" spans="1:20" ht="17.25" customHeight="1">
      <c r="A2470"/>
      <c r="B2470"/>
      <c r="P2470"/>
      <c r="R2470"/>
      <c r="S2470"/>
      <c r="T2470"/>
    </row>
    <row r="2471" spans="1:20" ht="17.25" customHeight="1">
      <c r="A2471"/>
      <c r="B2471"/>
      <c r="P2471"/>
      <c r="R2471"/>
      <c r="S2471"/>
      <c r="T2471"/>
    </row>
    <row r="2472" spans="1:20" ht="17.25" customHeight="1">
      <c r="A2472"/>
      <c r="B2472"/>
      <c r="P2472"/>
      <c r="R2472"/>
      <c r="S2472"/>
      <c r="T2472"/>
    </row>
    <row r="2473" spans="1:20" ht="17.25" customHeight="1">
      <c r="A2473"/>
      <c r="B2473"/>
      <c r="P2473"/>
      <c r="R2473"/>
      <c r="S2473"/>
      <c r="T2473"/>
    </row>
    <row r="2474" spans="1:20" ht="17.25" customHeight="1">
      <c r="A2474"/>
      <c r="B2474"/>
      <c r="P2474"/>
      <c r="R2474"/>
      <c r="S2474"/>
      <c r="T2474"/>
    </row>
    <row r="2475" spans="1:20" ht="17.25" customHeight="1">
      <c r="A2475"/>
      <c r="B2475"/>
      <c r="P2475"/>
      <c r="R2475"/>
      <c r="S2475"/>
      <c r="T2475"/>
    </row>
    <row r="2476" spans="1:20" ht="17.25" customHeight="1">
      <c r="A2476"/>
      <c r="B2476"/>
      <c r="P2476"/>
      <c r="R2476"/>
      <c r="S2476"/>
      <c r="T2476"/>
    </row>
    <row r="2477" spans="1:20" ht="17.25" customHeight="1">
      <c r="A2477"/>
      <c r="B2477"/>
      <c r="P2477"/>
      <c r="R2477"/>
      <c r="S2477"/>
      <c r="T2477"/>
    </row>
    <row r="2478" spans="1:20" ht="17.25" customHeight="1">
      <c r="A2478"/>
      <c r="B2478"/>
      <c r="P2478"/>
      <c r="R2478"/>
      <c r="S2478"/>
      <c r="T2478"/>
    </row>
    <row r="2479" spans="1:20" ht="17.25" customHeight="1">
      <c r="A2479"/>
      <c r="B2479"/>
      <c r="P2479"/>
      <c r="R2479"/>
      <c r="S2479"/>
      <c r="T2479"/>
    </row>
    <row r="2480" spans="1:20" ht="17.25" customHeight="1">
      <c r="A2480"/>
      <c r="B2480"/>
      <c r="P2480"/>
      <c r="R2480"/>
      <c r="S2480"/>
      <c r="T2480"/>
    </row>
    <row r="2481" spans="1:20" ht="17.25" customHeight="1">
      <c r="A2481"/>
      <c r="B2481"/>
      <c r="P2481"/>
      <c r="R2481"/>
      <c r="S2481"/>
      <c r="T2481"/>
    </row>
    <row r="2482" spans="1:20" ht="17.25" customHeight="1">
      <c r="A2482"/>
      <c r="B2482"/>
      <c r="P2482"/>
      <c r="R2482"/>
      <c r="S2482"/>
      <c r="T2482"/>
    </row>
    <row r="2483" spans="1:20" ht="17.25" customHeight="1">
      <c r="A2483"/>
      <c r="B2483"/>
      <c r="P2483"/>
      <c r="R2483"/>
      <c r="S2483"/>
      <c r="T2483"/>
    </row>
    <row r="2484" spans="1:20" ht="17.25" customHeight="1">
      <c r="A2484"/>
      <c r="B2484"/>
      <c r="P2484"/>
      <c r="R2484"/>
      <c r="S2484"/>
      <c r="T2484"/>
    </row>
    <row r="2485" spans="1:20" ht="17.25" customHeight="1">
      <c r="A2485"/>
      <c r="B2485"/>
      <c r="P2485"/>
      <c r="R2485"/>
      <c r="S2485"/>
      <c r="T2485"/>
    </row>
    <row r="2486" spans="1:20" ht="17.25" customHeight="1">
      <c r="A2486"/>
      <c r="B2486"/>
      <c r="P2486"/>
      <c r="R2486"/>
      <c r="S2486"/>
      <c r="T2486"/>
    </row>
    <row r="2487" spans="1:20" ht="17.25" customHeight="1">
      <c r="A2487"/>
      <c r="B2487"/>
      <c r="P2487"/>
      <c r="R2487"/>
      <c r="S2487"/>
      <c r="T2487"/>
    </row>
    <row r="2488" spans="1:20" ht="17.25" customHeight="1">
      <c r="A2488"/>
      <c r="B2488"/>
      <c r="P2488"/>
      <c r="R2488"/>
      <c r="S2488"/>
      <c r="T2488"/>
    </row>
    <row r="2489" spans="1:20" ht="17.25" customHeight="1">
      <c r="A2489"/>
      <c r="B2489"/>
      <c r="P2489"/>
      <c r="R2489"/>
      <c r="S2489"/>
      <c r="T2489"/>
    </row>
    <row r="2490" spans="1:20" ht="17.25" customHeight="1">
      <c r="A2490"/>
      <c r="B2490"/>
      <c r="P2490"/>
      <c r="R2490"/>
      <c r="S2490"/>
      <c r="T2490"/>
    </row>
    <row r="2491" spans="1:20" ht="17.25" customHeight="1">
      <c r="A2491"/>
      <c r="B2491"/>
      <c r="P2491"/>
      <c r="R2491"/>
      <c r="S2491"/>
      <c r="T2491"/>
    </row>
    <row r="2492" spans="1:20" ht="17.25" customHeight="1">
      <c r="A2492"/>
      <c r="B2492"/>
      <c r="P2492"/>
      <c r="R2492"/>
      <c r="S2492"/>
      <c r="T2492"/>
    </row>
    <row r="2493" spans="1:20" ht="17.25" customHeight="1">
      <c r="A2493"/>
      <c r="B2493"/>
      <c r="P2493"/>
      <c r="R2493"/>
      <c r="S2493"/>
      <c r="T2493"/>
    </row>
    <row r="2494" spans="1:20" ht="17.25" customHeight="1">
      <c r="A2494"/>
      <c r="B2494"/>
      <c r="P2494"/>
      <c r="R2494"/>
      <c r="S2494"/>
      <c r="T2494"/>
    </row>
    <row r="2495" spans="1:20" ht="17.25" customHeight="1">
      <c r="A2495"/>
      <c r="B2495"/>
      <c r="P2495"/>
      <c r="R2495"/>
      <c r="S2495"/>
      <c r="T2495"/>
    </row>
    <row r="2496" spans="1:20" ht="17.25" customHeight="1">
      <c r="A2496"/>
      <c r="B2496"/>
      <c r="P2496"/>
      <c r="R2496"/>
      <c r="S2496"/>
      <c r="T2496"/>
    </row>
    <row r="2497" spans="1:20" ht="17.25" customHeight="1">
      <c r="A2497"/>
      <c r="B2497"/>
      <c r="P2497"/>
      <c r="R2497"/>
      <c r="S2497"/>
      <c r="T2497"/>
    </row>
    <row r="2498" spans="1:20" ht="17.25" customHeight="1">
      <c r="A2498"/>
      <c r="B2498"/>
      <c r="P2498"/>
      <c r="R2498"/>
      <c r="S2498"/>
      <c r="T2498"/>
    </row>
    <row r="2499" spans="1:20" ht="17.25" customHeight="1">
      <c r="A2499"/>
      <c r="B2499"/>
      <c r="P2499"/>
      <c r="R2499"/>
      <c r="S2499"/>
      <c r="T2499"/>
    </row>
    <row r="2500" spans="1:20" ht="17.25" customHeight="1">
      <c r="A2500"/>
      <c r="B2500"/>
      <c r="P2500"/>
      <c r="R2500"/>
      <c r="S2500"/>
      <c r="T2500"/>
    </row>
    <row r="2501" spans="1:20" ht="17.25" customHeight="1">
      <c r="A2501"/>
      <c r="B2501"/>
      <c r="P2501"/>
      <c r="R2501"/>
      <c r="S2501"/>
      <c r="T2501"/>
    </row>
    <row r="2502" spans="1:20" ht="17.25" customHeight="1">
      <c r="A2502"/>
      <c r="B2502"/>
      <c r="P2502"/>
      <c r="R2502"/>
      <c r="S2502"/>
      <c r="T2502"/>
    </row>
    <row r="2503" spans="1:20" ht="17.25" customHeight="1">
      <c r="A2503"/>
      <c r="B2503"/>
      <c r="P2503"/>
      <c r="R2503"/>
      <c r="S2503"/>
      <c r="T2503"/>
    </row>
    <row r="2504" spans="1:20" ht="17.25" customHeight="1">
      <c r="A2504"/>
      <c r="B2504"/>
      <c r="P2504"/>
      <c r="R2504"/>
      <c r="S2504"/>
      <c r="T2504"/>
    </row>
    <row r="2505" spans="1:20" ht="17.25" customHeight="1">
      <c r="A2505"/>
      <c r="B2505"/>
      <c r="P2505"/>
      <c r="R2505"/>
      <c r="S2505"/>
      <c r="T2505"/>
    </row>
    <row r="2506" spans="1:20" ht="17.25" customHeight="1">
      <c r="A2506"/>
      <c r="B2506"/>
      <c r="P2506"/>
      <c r="R2506"/>
      <c r="S2506"/>
      <c r="T2506"/>
    </row>
    <row r="2507" spans="1:20" ht="17.25" customHeight="1">
      <c r="A2507"/>
      <c r="B2507"/>
      <c r="P2507"/>
      <c r="R2507"/>
      <c r="S2507"/>
      <c r="T2507"/>
    </row>
    <row r="2508" spans="1:20" ht="17.25" customHeight="1">
      <c r="A2508"/>
      <c r="B2508"/>
      <c r="P2508"/>
      <c r="R2508"/>
      <c r="S2508"/>
      <c r="T2508"/>
    </row>
    <row r="2509" spans="1:20" ht="17.25" customHeight="1">
      <c r="A2509"/>
      <c r="B2509"/>
      <c r="P2509"/>
      <c r="R2509"/>
      <c r="S2509"/>
      <c r="T2509"/>
    </row>
    <row r="2510" spans="1:20" ht="17.25" customHeight="1">
      <c r="A2510"/>
      <c r="B2510"/>
      <c r="P2510"/>
      <c r="R2510"/>
      <c r="S2510"/>
      <c r="T2510"/>
    </row>
    <row r="2511" spans="1:20" ht="17.25" customHeight="1">
      <c r="A2511"/>
      <c r="B2511"/>
      <c r="P2511"/>
      <c r="R2511"/>
      <c r="S2511"/>
      <c r="T2511"/>
    </row>
    <row r="2512" spans="1:20" ht="17.25" customHeight="1">
      <c r="A2512"/>
      <c r="B2512"/>
      <c r="P2512"/>
      <c r="R2512"/>
      <c r="S2512"/>
      <c r="T2512"/>
    </row>
    <row r="2513" spans="1:20" ht="17.25" customHeight="1">
      <c r="A2513"/>
      <c r="B2513"/>
      <c r="P2513"/>
      <c r="R2513"/>
      <c r="S2513"/>
      <c r="T2513"/>
    </row>
    <row r="2514" spans="1:20" ht="17.25" customHeight="1">
      <c r="A2514"/>
      <c r="B2514"/>
      <c r="P2514"/>
      <c r="R2514"/>
      <c r="S2514"/>
      <c r="T2514"/>
    </row>
    <row r="2515" spans="1:20" ht="17.25" customHeight="1">
      <c r="A2515"/>
      <c r="B2515"/>
      <c r="P2515"/>
      <c r="R2515"/>
      <c r="S2515"/>
      <c r="T2515"/>
    </row>
    <row r="2516" spans="1:20" ht="17.25" customHeight="1">
      <c r="A2516"/>
      <c r="B2516"/>
      <c r="P2516"/>
      <c r="R2516"/>
      <c r="S2516"/>
      <c r="T2516"/>
    </row>
    <row r="2517" spans="1:20" ht="17.25" customHeight="1">
      <c r="A2517"/>
      <c r="B2517"/>
      <c r="P2517"/>
      <c r="R2517"/>
      <c r="S2517"/>
      <c r="T2517"/>
    </row>
    <row r="2518" spans="1:20" ht="17.25" customHeight="1">
      <c r="A2518"/>
      <c r="B2518"/>
      <c r="P2518"/>
      <c r="R2518"/>
      <c r="S2518"/>
      <c r="T2518"/>
    </row>
    <row r="2519" spans="1:20" ht="17.25" customHeight="1">
      <c r="A2519"/>
      <c r="B2519"/>
      <c r="P2519"/>
      <c r="R2519"/>
      <c r="S2519"/>
      <c r="T2519"/>
    </row>
    <row r="2520" spans="1:20" ht="17.25" customHeight="1">
      <c r="A2520"/>
      <c r="B2520"/>
      <c r="P2520"/>
      <c r="R2520"/>
      <c r="S2520"/>
      <c r="T2520"/>
    </row>
    <row r="2521" spans="1:20" ht="17.25" customHeight="1">
      <c r="A2521"/>
      <c r="B2521"/>
      <c r="P2521"/>
      <c r="R2521"/>
      <c r="S2521"/>
      <c r="T2521"/>
    </row>
    <row r="2522" spans="1:20" ht="17.25" customHeight="1">
      <c r="A2522"/>
      <c r="B2522"/>
      <c r="P2522"/>
      <c r="R2522"/>
      <c r="S2522"/>
      <c r="T2522"/>
    </row>
    <row r="2523" spans="1:20" ht="17.25" customHeight="1">
      <c r="A2523"/>
      <c r="B2523"/>
      <c r="P2523"/>
      <c r="R2523"/>
      <c r="S2523"/>
      <c r="T2523"/>
    </row>
    <row r="2524" spans="1:20" ht="17.25" customHeight="1">
      <c r="A2524"/>
      <c r="B2524"/>
      <c r="P2524"/>
      <c r="R2524"/>
      <c r="S2524"/>
      <c r="T2524"/>
    </row>
    <row r="2525" spans="1:20" ht="17.25" customHeight="1">
      <c r="A2525"/>
      <c r="B2525"/>
      <c r="P2525"/>
      <c r="R2525"/>
      <c r="S2525"/>
      <c r="T2525"/>
    </row>
    <row r="2526" spans="1:20" ht="17.25" customHeight="1">
      <c r="A2526"/>
      <c r="B2526"/>
      <c r="P2526"/>
      <c r="R2526"/>
      <c r="S2526"/>
      <c r="T2526"/>
    </row>
    <row r="2527" spans="1:20" ht="17.25" customHeight="1">
      <c r="A2527"/>
      <c r="B2527"/>
      <c r="P2527"/>
      <c r="R2527"/>
      <c r="S2527"/>
      <c r="T2527"/>
    </row>
    <row r="2528" spans="1:20" ht="17.25" customHeight="1">
      <c r="A2528"/>
      <c r="B2528"/>
      <c r="P2528"/>
      <c r="R2528"/>
      <c r="S2528"/>
      <c r="T2528"/>
    </row>
    <row r="2529" spans="1:20" ht="17.25" customHeight="1">
      <c r="A2529"/>
      <c r="B2529"/>
      <c r="P2529"/>
      <c r="R2529"/>
      <c r="S2529"/>
      <c r="T2529"/>
    </row>
    <row r="2530" spans="1:20" ht="17.25" customHeight="1">
      <c r="A2530"/>
      <c r="B2530"/>
      <c r="P2530"/>
      <c r="R2530"/>
      <c r="S2530"/>
      <c r="T2530"/>
    </row>
    <row r="2531" spans="1:20" ht="17.25" customHeight="1">
      <c r="A2531"/>
      <c r="B2531"/>
      <c r="P2531"/>
      <c r="R2531"/>
      <c r="S2531"/>
      <c r="T2531"/>
    </row>
    <row r="2532" spans="1:20" ht="17.25" customHeight="1">
      <c r="A2532"/>
      <c r="B2532"/>
      <c r="P2532"/>
      <c r="R2532"/>
      <c r="S2532"/>
      <c r="T2532"/>
    </row>
    <row r="2533" spans="1:20" ht="17.25" customHeight="1">
      <c r="A2533"/>
      <c r="B2533"/>
      <c r="P2533"/>
      <c r="R2533"/>
      <c r="S2533"/>
      <c r="T2533"/>
    </row>
    <row r="2534" spans="1:20" ht="17.25" customHeight="1">
      <c r="A2534"/>
      <c r="B2534"/>
      <c r="P2534"/>
      <c r="R2534"/>
      <c r="S2534"/>
      <c r="T2534"/>
    </row>
    <row r="2535" spans="1:20" ht="17.25" customHeight="1">
      <c r="A2535"/>
      <c r="B2535"/>
      <c r="P2535"/>
      <c r="R2535"/>
      <c r="S2535"/>
      <c r="T2535"/>
    </row>
    <row r="2536" spans="1:20" ht="17.25" customHeight="1">
      <c r="A2536"/>
      <c r="B2536"/>
      <c r="P2536"/>
      <c r="R2536"/>
      <c r="S2536"/>
      <c r="T2536"/>
    </row>
    <row r="2537" spans="1:20" ht="17.25" customHeight="1">
      <c r="A2537"/>
      <c r="B2537"/>
      <c r="P2537"/>
      <c r="R2537"/>
      <c r="S2537"/>
      <c r="T2537"/>
    </row>
    <row r="2538" spans="1:20" ht="17.25" customHeight="1">
      <c r="A2538"/>
      <c r="B2538"/>
      <c r="P2538"/>
      <c r="R2538"/>
      <c r="S2538"/>
      <c r="T2538"/>
    </row>
    <row r="2539" spans="1:20" ht="17.25" customHeight="1">
      <c r="A2539"/>
      <c r="B2539"/>
      <c r="P2539"/>
      <c r="R2539"/>
      <c r="S2539"/>
      <c r="T2539"/>
    </row>
    <row r="2540" spans="1:20" ht="17.25" customHeight="1">
      <c r="A2540"/>
      <c r="B2540"/>
      <c r="P2540"/>
      <c r="R2540"/>
      <c r="S2540"/>
      <c r="T2540"/>
    </row>
    <row r="2541" spans="1:20" ht="17.25" customHeight="1">
      <c r="A2541"/>
      <c r="B2541"/>
      <c r="P2541"/>
      <c r="R2541"/>
      <c r="S2541"/>
      <c r="T2541"/>
    </row>
    <row r="2542" spans="1:20" ht="17.25" customHeight="1">
      <c r="A2542"/>
      <c r="B2542"/>
      <c r="P2542"/>
      <c r="R2542"/>
      <c r="S2542"/>
      <c r="T2542"/>
    </row>
    <row r="2543" spans="1:20" ht="17.25" customHeight="1">
      <c r="A2543"/>
      <c r="B2543"/>
      <c r="P2543"/>
      <c r="R2543"/>
      <c r="S2543"/>
      <c r="T2543"/>
    </row>
    <row r="2544" spans="1:20" ht="17.25" customHeight="1">
      <c r="A2544"/>
      <c r="B2544"/>
      <c r="P2544"/>
      <c r="R2544"/>
      <c r="S2544"/>
      <c r="T2544"/>
    </row>
    <row r="2545" spans="1:20" ht="17.25" customHeight="1">
      <c r="A2545"/>
      <c r="B2545"/>
      <c r="P2545"/>
      <c r="R2545"/>
      <c r="S2545"/>
      <c r="T2545"/>
    </row>
    <row r="2546" spans="1:20" ht="17.25" customHeight="1">
      <c r="A2546"/>
      <c r="B2546"/>
      <c r="P2546"/>
      <c r="R2546"/>
      <c r="S2546"/>
      <c r="T2546"/>
    </row>
    <row r="2547" spans="1:20" ht="17.25" customHeight="1">
      <c r="A2547"/>
      <c r="B2547"/>
      <c r="P2547"/>
      <c r="R2547"/>
      <c r="S2547"/>
      <c r="T2547"/>
    </row>
    <row r="2548" spans="1:20" ht="17.25" customHeight="1">
      <c r="A2548"/>
      <c r="B2548"/>
      <c r="P2548"/>
      <c r="R2548"/>
      <c r="S2548"/>
      <c r="T2548"/>
    </row>
    <row r="2549" spans="1:20" ht="17.25" customHeight="1">
      <c r="A2549"/>
      <c r="B2549"/>
      <c r="P2549"/>
      <c r="R2549"/>
      <c r="S2549"/>
      <c r="T2549"/>
    </row>
    <row r="2550" spans="1:20" ht="17.25" customHeight="1">
      <c r="A2550"/>
      <c r="B2550"/>
      <c r="P2550"/>
      <c r="R2550"/>
      <c r="S2550"/>
      <c r="T2550"/>
    </row>
    <row r="2551" spans="1:20" ht="17.25" customHeight="1">
      <c r="A2551"/>
      <c r="B2551"/>
      <c r="P2551"/>
      <c r="R2551"/>
      <c r="S2551"/>
      <c r="T2551"/>
    </row>
    <row r="2552" spans="1:20" ht="17.25" customHeight="1">
      <c r="A2552"/>
      <c r="B2552"/>
      <c r="P2552"/>
      <c r="R2552"/>
      <c r="S2552"/>
      <c r="T2552"/>
    </row>
    <row r="2553" spans="1:20" ht="17.25" customHeight="1">
      <c r="A2553"/>
      <c r="B2553"/>
      <c r="P2553"/>
      <c r="R2553"/>
      <c r="S2553"/>
      <c r="T2553"/>
    </row>
    <row r="2554" spans="1:20" ht="17.25" customHeight="1">
      <c r="A2554"/>
      <c r="B2554"/>
      <c r="P2554"/>
      <c r="R2554"/>
      <c r="S2554"/>
      <c r="T2554"/>
    </row>
    <row r="2555" spans="1:20" ht="17.25" customHeight="1">
      <c r="A2555"/>
      <c r="B2555"/>
      <c r="P2555"/>
      <c r="R2555"/>
      <c r="S2555"/>
      <c r="T2555"/>
    </row>
    <row r="2556" spans="1:20" ht="17.25" customHeight="1">
      <c r="A2556"/>
      <c r="B2556"/>
      <c r="P2556"/>
      <c r="R2556"/>
      <c r="S2556"/>
      <c r="T2556"/>
    </row>
    <row r="2557" spans="1:20" ht="17.25" customHeight="1">
      <c r="A2557"/>
      <c r="B2557"/>
      <c r="P2557"/>
      <c r="R2557"/>
      <c r="S2557"/>
      <c r="T2557"/>
    </row>
    <row r="2558" spans="1:20" ht="17.25" customHeight="1">
      <c r="A2558"/>
      <c r="B2558"/>
      <c r="P2558"/>
      <c r="R2558"/>
      <c r="S2558"/>
      <c r="T2558"/>
    </row>
    <row r="2559" spans="1:20" ht="17.25" customHeight="1">
      <c r="A2559"/>
      <c r="B2559"/>
      <c r="P2559"/>
      <c r="R2559"/>
      <c r="S2559"/>
      <c r="T2559"/>
    </row>
    <row r="2560" spans="1:20" ht="17.25" customHeight="1">
      <c r="A2560"/>
      <c r="B2560"/>
      <c r="P2560"/>
      <c r="R2560"/>
      <c r="S2560"/>
      <c r="T2560"/>
    </row>
    <row r="2561" spans="1:20" ht="17.25" customHeight="1">
      <c r="A2561"/>
      <c r="B2561"/>
      <c r="P2561"/>
      <c r="R2561"/>
      <c r="S2561"/>
      <c r="T2561"/>
    </row>
    <row r="2562" spans="1:20" ht="17.25" customHeight="1">
      <c r="A2562"/>
      <c r="B2562"/>
      <c r="P2562"/>
      <c r="R2562"/>
      <c r="S2562"/>
      <c r="T2562"/>
    </row>
    <row r="2563" spans="1:20" ht="17.25" customHeight="1">
      <c r="A2563"/>
      <c r="B2563"/>
      <c r="P2563"/>
      <c r="R2563"/>
      <c r="S2563"/>
      <c r="T2563"/>
    </row>
    <row r="2564" spans="1:20" ht="17.25" customHeight="1">
      <c r="A2564"/>
      <c r="B2564"/>
      <c r="P2564"/>
      <c r="R2564"/>
      <c r="S2564"/>
      <c r="T2564"/>
    </row>
    <row r="2565" spans="1:20" ht="17.25" customHeight="1">
      <c r="A2565"/>
      <c r="B2565"/>
      <c r="P2565"/>
      <c r="R2565"/>
      <c r="S2565"/>
      <c r="T2565"/>
    </row>
    <row r="2566" spans="1:20" ht="17.25" customHeight="1">
      <c r="A2566"/>
      <c r="B2566"/>
      <c r="P2566"/>
      <c r="R2566"/>
      <c r="S2566"/>
      <c r="T2566"/>
    </row>
    <row r="2567" spans="1:20" ht="17.25" customHeight="1">
      <c r="A2567"/>
      <c r="B2567"/>
      <c r="P2567"/>
      <c r="R2567"/>
      <c r="S2567"/>
      <c r="T2567"/>
    </row>
    <row r="2568" spans="1:20" ht="17.25" customHeight="1">
      <c r="A2568"/>
      <c r="B2568"/>
      <c r="P2568"/>
      <c r="R2568"/>
      <c r="S2568"/>
      <c r="T2568"/>
    </row>
    <row r="2569" spans="1:20" ht="17.25" customHeight="1">
      <c r="A2569"/>
      <c r="B2569"/>
      <c r="P2569"/>
      <c r="R2569"/>
      <c r="S2569"/>
      <c r="T2569"/>
    </row>
    <row r="2570" spans="1:20" ht="17.25" customHeight="1">
      <c r="A2570"/>
      <c r="B2570"/>
      <c r="P2570"/>
      <c r="R2570"/>
      <c r="S2570"/>
      <c r="T2570"/>
    </row>
    <row r="2571" spans="1:20" ht="17.25" customHeight="1">
      <c r="A2571"/>
      <c r="B2571"/>
      <c r="P2571"/>
      <c r="R2571"/>
      <c r="S2571"/>
      <c r="T2571"/>
    </row>
    <row r="2572" spans="1:20" ht="17.25" customHeight="1">
      <c r="A2572"/>
      <c r="B2572"/>
      <c r="P2572"/>
      <c r="R2572"/>
      <c r="S2572"/>
      <c r="T2572"/>
    </row>
    <row r="2573" spans="1:20" ht="17.25" customHeight="1">
      <c r="A2573"/>
      <c r="B2573"/>
      <c r="P2573"/>
      <c r="R2573"/>
      <c r="S2573"/>
      <c r="T2573"/>
    </row>
    <row r="2574" spans="1:20" ht="17.25" customHeight="1">
      <c r="A2574"/>
      <c r="B2574"/>
      <c r="P2574"/>
      <c r="R2574"/>
      <c r="S2574"/>
      <c r="T2574"/>
    </row>
    <row r="2575" spans="1:20" ht="17.25" customHeight="1">
      <c r="A2575"/>
      <c r="B2575"/>
      <c r="P2575"/>
      <c r="R2575"/>
      <c r="S2575"/>
      <c r="T2575"/>
    </row>
    <row r="2576" spans="1:20" ht="17.25" customHeight="1">
      <c r="A2576"/>
      <c r="B2576"/>
      <c r="P2576"/>
      <c r="R2576"/>
      <c r="S2576"/>
      <c r="T2576"/>
    </row>
    <row r="2577" spans="1:20" ht="17.25" customHeight="1">
      <c r="A2577"/>
      <c r="B2577"/>
      <c r="P2577"/>
      <c r="R2577"/>
      <c r="S2577"/>
      <c r="T2577"/>
    </row>
    <row r="2578" spans="1:20" ht="17.25" customHeight="1">
      <c r="A2578"/>
      <c r="B2578"/>
      <c r="P2578"/>
      <c r="R2578"/>
      <c r="S2578"/>
      <c r="T2578"/>
    </row>
    <row r="2579" spans="1:20" ht="17.25" customHeight="1">
      <c r="A2579"/>
      <c r="B2579"/>
      <c r="P2579"/>
      <c r="R2579"/>
      <c r="S2579"/>
      <c r="T2579"/>
    </row>
    <row r="2580" spans="1:20" ht="17.25" customHeight="1">
      <c r="A2580"/>
      <c r="B2580"/>
      <c r="P2580"/>
      <c r="R2580"/>
      <c r="S2580"/>
      <c r="T2580"/>
    </row>
    <row r="2581" spans="1:20" ht="17.25" customHeight="1">
      <c r="A2581"/>
      <c r="B2581"/>
      <c r="P2581"/>
      <c r="R2581"/>
      <c r="S2581"/>
      <c r="T2581"/>
    </row>
    <row r="2582" spans="1:20" ht="17.25" customHeight="1">
      <c r="A2582"/>
      <c r="B2582"/>
      <c r="P2582"/>
      <c r="R2582"/>
      <c r="S2582"/>
      <c r="T2582"/>
    </row>
    <row r="2583" spans="1:20" ht="17.25" customHeight="1">
      <c r="A2583"/>
      <c r="B2583"/>
      <c r="P2583"/>
      <c r="R2583"/>
      <c r="S2583"/>
      <c r="T2583"/>
    </row>
    <row r="2584" spans="1:20" ht="17.25" customHeight="1">
      <c r="A2584"/>
      <c r="B2584"/>
      <c r="P2584"/>
      <c r="R2584"/>
      <c r="S2584"/>
      <c r="T2584"/>
    </row>
    <row r="2585" spans="1:20" ht="17.25" customHeight="1">
      <c r="A2585"/>
      <c r="B2585"/>
      <c r="P2585"/>
      <c r="R2585"/>
      <c r="S2585"/>
      <c r="T2585"/>
    </row>
    <row r="2586" spans="1:20" ht="17.25" customHeight="1">
      <c r="A2586"/>
      <c r="B2586"/>
      <c r="P2586"/>
      <c r="R2586"/>
      <c r="S2586"/>
      <c r="T2586"/>
    </row>
    <row r="2587" spans="1:20" ht="17.25" customHeight="1">
      <c r="A2587"/>
      <c r="B2587"/>
      <c r="P2587"/>
      <c r="R2587"/>
      <c r="S2587"/>
      <c r="T2587"/>
    </row>
    <row r="2588" spans="1:20" ht="17.25" customHeight="1">
      <c r="A2588"/>
      <c r="B2588"/>
      <c r="P2588"/>
      <c r="R2588"/>
      <c r="S2588"/>
      <c r="T2588"/>
    </row>
    <row r="2589" spans="1:20" ht="17.25" customHeight="1">
      <c r="A2589"/>
      <c r="B2589"/>
      <c r="P2589"/>
      <c r="R2589"/>
      <c r="S2589"/>
      <c r="T2589"/>
    </row>
    <row r="2590" spans="1:20" ht="17.25" customHeight="1">
      <c r="A2590"/>
      <c r="B2590"/>
      <c r="P2590"/>
      <c r="R2590"/>
      <c r="S2590"/>
      <c r="T2590"/>
    </row>
    <row r="2591" spans="1:20" ht="17.25" customHeight="1">
      <c r="A2591"/>
      <c r="B2591"/>
      <c r="P2591"/>
      <c r="R2591"/>
      <c r="S2591"/>
      <c r="T2591"/>
    </row>
    <row r="2592" spans="1:20" ht="17.25" customHeight="1">
      <c r="A2592"/>
      <c r="B2592"/>
      <c r="P2592"/>
      <c r="R2592"/>
      <c r="S2592"/>
      <c r="T2592"/>
    </row>
    <row r="2593" spans="1:20" ht="17.25" customHeight="1">
      <c r="A2593"/>
      <c r="B2593"/>
      <c r="P2593"/>
      <c r="R2593"/>
      <c r="S2593"/>
      <c r="T2593"/>
    </row>
    <row r="2594" spans="1:20" ht="17.25" customHeight="1">
      <c r="A2594"/>
      <c r="B2594"/>
      <c r="P2594"/>
      <c r="R2594"/>
      <c r="S2594"/>
      <c r="T2594"/>
    </row>
    <row r="2595" spans="1:20" ht="17.25" customHeight="1">
      <c r="A2595"/>
      <c r="B2595"/>
      <c r="P2595"/>
      <c r="R2595"/>
      <c r="S2595"/>
      <c r="T2595"/>
    </row>
    <row r="2596" spans="1:20" ht="17.25" customHeight="1">
      <c r="A2596"/>
      <c r="B2596"/>
      <c r="P2596"/>
      <c r="R2596"/>
      <c r="S2596"/>
      <c r="T2596"/>
    </row>
    <row r="2597" spans="1:20" ht="17.25" customHeight="1">
      <c r="A2597"/>
      <c r="B2597"/>
      <c r="P2597"/>
      <c r="R2597"/>
      <c r="S2597"/>
      <c r="T2597"/>
    </row>
    <row r="2598" spans="1:20" ht="17.25" customHeight="1">
      <c r="A2598"/>
      <c r="B2598"/>
      <c r="P2598"/>
      <c r="R2598"/>
      <c r="S2598"/>
      <c r="T2598"/>
    </row>
    <row r="2599" spans="1:20" ht="17.25" customHeight="1">
      <c r="A2599"/>
      <c r="B2599"/>
      <c r="P2599"/>
      <c r="R2599"/>
      <c r="S2599"/>
      <c r="T2599"/>
    </row>
    <row r="2600" spans="1:20" ht="17.25" customHeight="1">
      <c r="A2600"/>
      <c r="B2600"/>
      <c r="P2600"/>
      <c r="R2600"/>
      <c r="S2600"/>
      <c r="T2600"/>
    </row>
    <row r="2601" spans="1:20" ht="17.25" customHeight="1">
      <c r="A2601"/>
      <c r="B2601"/>
      <c r="P2601"/>
      <c r="R2601"/>
      <c r="S2601"/>
      <c r="T2601"/>
    </row>
    <row r="2602" spans="1:20" ht="17.25" customHeight="1">
      <c r="A2602"/>
      <c r="B2602"/>
      <c r="P2602"/>
      <c r="R2602"/>
      <c r="S2602"/>
      <c r="T2602"/>
    </row>
    <row r="2603" spans="1:20" ht="17.25" customHeight="1">
      <c r="A2603"/>
      <c r="B2603"/>
      <c r="P2603"/>
      <c r="R2603"/>
      <c r="S2603"/>
      <c r="T2603"/>
    </row>
    <row r="2604" spans="1:20" ht="17.25" customHeight="1">
      <c r="A2604"/>
      <c r="B2604"/>
      <c r="P2604"/>
      <c r="R2604"/>
      <c r="S2604"/>
      <c r="T2604"/>
    </row>
    <row r="2605" spans="1:20" ht="17.25" customHeight="1">
      <c r="A2605"/>
      <c r="B2605"/>
      <c r="P2605"/>
      <c r="R2605"/>
      <c r="S2605"/>
      <c r="T2605"/>
    </row>
    <row r="2606" spans="1:20" ht="17.25" customHeight="1">
      <c r="A2606"/>
      <c r="B2606"/>
      <c r="P2606"/>
      <c r="R2606"/>
      <c r="S2606"/>
      <c r="T2606"/>
    </row>
    <row r="2607" spans="1:20" ht="17.25" customHeight="1">
      <c r="A2607"/>
      <c r="B2607"/>
      <c r="P2607"/>
      <c r="R2607"/>
      <c r="S2607"/>
      <c r="T2607"/>
    </row>
    <row r="2608" spans="1:20" ht="17.25" customHeight="1">
      <c r="A2608"/>
      <c r="B2608"/>
      <c r="P2608"/>
      <c r="R2608"/>
      <c r="S2608"/>
      <c r="T2608"/>
    </row>
    <row r="2609" spans="1:20" ht="17.25" customHeight="1">
      <c r="A2609"/>
      <c r="B2609"/>
      <c r="P2609"/>
      <c r="R2609"/>
      <c r="S2609"/>
      <c r="T2609"/>
    </row>
    <row r="2610" spans="1:20" ht="17.25" customHeight="1">
      <c r="A2610"/>
      <c r="B2610"/>
      <c r="P2610"/>
      <c r="R2610"/>
      <c r="S2610"/>
      <c r="T2610"/>
    </row>
    <row r="2611" spans="1:20" ht="17.25" customHeight="1">
      <c r="A2611"/>
      <c r="B2611"/>
      <c r="P2611"/>
      <c r="R2611"/>
      <c r="S2611"/>
      <c r="T2611"/>
    </row>
    <row r="2612" spans="1:20" ht="17.25" customHeight="1">
      <c r="A2612"/>
      <c r="B2612"/>
      <c r="P2612"/>
      <c r="R2612"/>
      <c r="S2612"/>
      <c r="T2612"/>
    </row>
    <row r="2613" spans="1:20" ht="17.25" customHeight="1">
      <c r="A2613"/>
      <c r="B2613"/>
      <c r="P2613"/>
      <c r="R2613"/>
      <c r="S2613"/>
      <c r="T2613"/>
    </row>
    <row r="2614" spans="1:20" ht="17.25" customHeight="1">
      <c r="A2614"/>
      <c r="B2614"/>
      <c r="P2614"/>
      <c r="R2614"/>
      <c r="S2614"/>
      <c r="T2614"/>
    </row>
    <row r="2615" spans="1:20" ht="17.25" customHeight="1">
      <c r="A2615"/>
      <c r="B2615"/>
      <c r="P2615"/>
      <c r="R2615"/>
      <c r="S2615"/>
      <c r="T2615"/>
    </row>
    <row r="2616" spans="1:20" ht="17.25" customHeight="1">
      <c r="A2616"/>
      <c r="B2616"/>
      <c r="P2616"/>
      <c r="R2616"/>
      <c r="S2616"/>
      <c r="T2616"/>
    </row>
    <row r="2617" spans="1:20" ht="17.25" customHeight="1">
      <c r="A2617"/>
      <c r="B2617"/>
      <c r="P2617"/>
      <c r="R2617"/>
      <c r="S2617"/>
      <c r="T2617"/>
    </row>
    <row r="2618" spans="1:20" ht="17.25" customHeight="1">
      <c r="A2618"/>
      <c r="B2618"/>
      <c r="P2618"/>
      <c r="R2618"/>
      <c r="S2618"/>
      <c r="T2618"/>
    </row>
    <row r="2619" spans="1:20" ht="17.25" customHeight="1">
      <c r="A2619"/>
      <c r="B2619"/>
      <c r="P2619"/>
      <c r="R2619"/>
      <c r="S2619"/>
      <c r="T2619"/>
    </row>
    <row r="2620" spans="1:20" ht="17.25" customHeight="1">
      <c r="A2620"/>
      <c r="B2620"/>
      <c r="P2620"/>
      <c r="R2620"/>
      <c r="S2620"/>
      <c r="T2620"/>
    </row>
    <row r="2621" spans="1:20" ht="17.25" customHeight="1">
      <c r="A2621"/>
      <c r="B2621"/>
      <c r="P2621"/>
      <c r="R2621"/>
      <c r="S2621"/>
      <c r="T2621"/>
    </row>
    <row r="2622" spans="1:20" ht="17.25" customHeight="1">
      <c r="A2622"/>
      <c r="B2622"/>
      <c r="P2622"/>
      <c r="R2622"/>
      <c r="S2622"/>
      <c r="T2622"/>
    </row>
    <row r="2623" spans="1:20" ht="17.25" customHeight="1">
      <c r="A2623"/>
      <c r="B2623"/>
      <c r="P2623"/>
      <c r="R2623"/>
      <c r="S2623"/>
      <c r="T2623"/>
    </row>
    <row r="2624" spans="1:20" ht="17.25" customHeight="1">
      <c r="A2624"/>
      <c r="B2624"/>
      <c r="P2624"/>
      <c r="R2624"/>
      <c r="S2624"/>
      <c r="T2624"/>
    </row>
    <row r="2625" spans="1:20" ht="17.25" customHeight="1">
      <c r="A2625"/>
      <c r="B2625"/>
      <c r="P2625"/>
      <c r="R2625"/>
      <c r="S2625"/>
      <c r="T2625"/>
    </row>
    <row r="2626" spans="1:20" ht="17.25" customHeight="1">
      <c r="A2626"/>
      <c r="B2626"/>
      <c r="P2626"/>
      <c r="R2626"/>
      <c r="S2626"/>
      <c r="T2626"/>
    </row>
    <row r="2627" spans="1:20" ht="17.25" customHeight="1">
      <c r="A2627"/>
      <c r="B2627"/>
      <c r="P2627"/>
      <c r="R2627"/>
      <c r="S2627"/>
      <c r="T2627"/>
    </row>
    <row r="2628" spans="1:20" ht="17.25" customHeight="1">
      <c r="A2628"/>
      <c r="B2628"/>
      <c r="P2628"/>
      <c r="R2628"/>
      <c r="S2628"/>
      <c r="T2628"/>
    </row>
    <row r="2629" spans="1:20" ht="17.25" customHeight="1">
      <c r="A2629"/>
      <c r="B2629"/>
      <c r="P2629"/>
      <c r="R2629"/>
      <c r="S2629"/>
      <c r="T2629"/>
    </row>
    <row r="2630" spans="1:20" ht="17.25" customHeight="1">
      <c r="A2630"/>
      <c r="B2630"/>
      <c r="P2630"/>
      <c r="R2630"/>
      <c r="S2630"/>
      <c r="T2630"/>
    </row>
    <row r="2631" spans="1:20" ht="17.25" customHeight="1">
      <c r="A2631"/>
      <c r="B2631"/>
      <c r="P2631"/>
      <c r="R2631"/>
      <c r="S2631"/>
      <c r="T2631"/>
    </row>
    <row r="2632" spans="1:20" ht="17.25" customHeight="1">
      <c r="A2632"/>
      <c r="B2632"/>
      <c r="P2632"/>
      <c r="R2632"/>
      <c r="S2632"/>
      <c r="T2632"/>
    </row>
    <row r="2633" spans="1:20" ht="17.25" customHeight="1">
      <c r="A2633"/>
      <c r="B2633"/>
      <c r="P2633"/>
      <c r="R2633"/>
      <c r="S2633"/>
      <c r="T2633"/>
    </row>
    <row r="2634" spans="1:20" ht="17.25" customHeight="1">
      <c r="A2634"/>
      <c r="B2634"/>
      <c r="P2634"/>
      <c r="R2634"/>
      <c r="S2634"/>
      <c r="T2634"/>
    </row>
    <row r="2635" spans="1:20" ht="17.25" customHeight="1">
      <c r="A2635"/>
      <c r="B2635"/>
      <c r="P2635"/>
      <c r="R2635"/>
      <c r="S2635"/>
      <c r="T2635"/>
    </row>
    <row r="2636" spans="1:20" ht="17.25" customHeight="1">
      <c r="A2636"/>
      <c r="B2636"/>
      <c r="P2636"/>
      <c r="R2636"/>
      <c r="S2636"/>
      <c r="T2636"/>
    </row>
    <row r="2637" spans="1:20" ht="17.25" customHeight="1">
      <c r="A2637"/>
      <c r="B2637"/>
      <c r="P2637"/>
      <c r="R2637"/>
      <c r="S2637"/>
      <c r="T2637"/>
    </row>
    <row r="2638" spans="1:20" ht="17.25" customHeight="1">
      <c r="A2638"/>
      <c r="B2638"/>
      <c r="P2638"/>
      <c r="R2638"/>
      <c r="S2638"/>
      <c r="T2638"/>
    </row>
    <row r="2639" spans="1:20" ht="17.25" customHeight="1">
      <c r="A2639"/>
      <c r="B2639"/>
      <c r="P2639"/>
      <c r="R2639"/>
      <c r="S2639"/>
      <c r="T2639"/>
    </row>
    <row r="2640" spans="1:20" ht="17.25" customHeight="1">
      <c r="A2640"/>
      <c r="B2640"/>
      <c r="P2640"/>
      <c r="R2640"/>
      <c r="S2640"/>
      <c r="T2640"/>
    </row>
    <row r="2641" spans="1:20" ht="17.25" customHeight="1">
      <c r="A2641"/>
      <c r="B2641"/>
      <c r="P2641"/>
      <c r="R2641"/>
      <c r="S2641"/>
      <c r="T2641"/>
    </row>
    <row r="2642" spans="1:20" ht="17.25" customHeight="1">
      <c r="A2642"/>
      <c r="B2642"/>
      <c r="P2642"/>
      <c r="R2642"/>
      <c r="S2642"/>
      <c r="T2642"/>
    </row>
    <row r="2643" spans="1:20" ht="17.25" customHeight="1">
      <c r="A2643"/>
      <c r="B2643"/>
      <c r="P2643"/>
      <c r="R2643"/>
      <c r="S2643"/>
      <c r="T2643"/>
    </row>
    <row r="2644" spans="1:20" ht="17.25" customHeight="1">
      <c r="A2644"/>
      <c r="B2644"/>
      <c r="P2644"/>
      <c r="R2644"/>
      <c r="S2644"/>
      <c r="T2644"/>
    </row>
    <row r="2645" spans="1:20" ht="17.25" customHeight="1">
      <c r="A2645"/>
      <c r="B2645"/>
      <c r="P2645"/>
      <c r="R2645"/>
      <c r="S2645"/>
      <c r="T2645"/>
    </row>
    <row r="2646" spans="1:20" ht="17.25" customHeight="1">
      <c r="A2646"/>
      <c r="B2646"/>
      <c r="P2646"/>
      <c r="R2646"/>
      <c r="S2646"/>
      <c r="T2646"/>
    </row>
    <row r="2647" spans="1:20" ht="17.25" customHeight="1">
      <c r="A2647"/>
      <c r="B2647"/>
      <c r="P2647"/>
      <c r="R2647"/>
      <c r="S2647"/>
      <c r="T2647"/>
    </row>
    <row r="2648" spans="1:20" ht="17.25" customHeight="1">
      <c r="A2648"/>
      <c r="B2648"/>
      <c r="P2648"/>
      <c r="R2648"/>
      <c r="S2648"/>
      <c r="T2648"/>
    </row>
    <row r="2649" spans="1:20" ht="17.25" customHeight="1">
      <c r="A2649"/>
      <c r="B2649"/>
      <c r="P2649"/>
      <c r="R2649"/>
      <c r="S2649"/>
      <c r="T2649"/>
    </row>
    <row r="2650" spans="1:20" ht="17.25" customHeight="1">
      <c r="A2650"/>
      <c r="B2650"/>
      <c r="P2650"/>
      <c r="R2650"/>
      <c r="S2650"/>
      <c r="T2650"/>
    </row>
    <row r="2651" spans="1:20" ht="17.25" customHeight="1">
      <c r="A2651"/>
      <c r="B2651"/>
      <c r="P2651"/>
      <c r="R2651"/>
      <c r="S2651"/>
      <c r="T2651"/>
    </row>
    <row r="2652" spans="1:20" ht="17.25" customHeight="1">
      <c r="A2652"/>
      <c r="B2652"/>
      <c r="P2652"/>
      <c r="R2652"/>
      <c r="S2652"/>
      <c r="T2652"/>
    </row>
    <row r="2653" spans="1:20" ht="17.25" customHeight="1">
      <c r="A2653"/>
      <c r="B2653"/>
      <c r="P2653"/>
      <c r="R2653"/>
      <c r="S2653"/>
      <c r="T2653"/>
    </row>
    <row r="2654" spans="1:20" ht="17.25" customHeight="1">
      <c r="A2654"/>
      <c r="B2654"/>
      <c r="P2654"/>
      <c r="R2654"/>
      <c r="S2654"/>
      <c r="T2654"/>
    </row>
    <row r="2655" spans="1:20" ht="17.25" customHeight="1">
      <c r="A2655"/>
      <c r="B2655"/>
      <c r="P2655"/>
      <c r="R2655"/>
      <c r="S2655"/>
      <c r="T2655"/>
    </row>
    <row r="2656" spans="1:20" ht="17.25" customHeight="1">
      <c r="A2656"/>
      <c r="B2656"/>
      <c r="P2656"/>
      <c r="R2656"/>
      <c r="S2656"/>
      <c r="T2656"/>
    </row>
    <row r="2657" spans="1:20" ht="17.25" customHeight="1">
      <c r="A2657"/>
      <c r="B2657"/>
      <c r="P2657"/>
      <c r="R2657"/>
      <c r="S2657"/>
      <c r="T2657"/>
    </row>
    <row r="2658" spans="1:20" ht="17.25" customHeight="1">
      <c r="A2658"/>
      <c r="B2658"/>
      <c r="P2658"/>
      <c r="R2658"/>
      <c r="S2658"/>
      <c r="T2658"/>
    </row>
    <row r="2659" spans="1:20" ht="17.25" customHeight="1">
      <c r="A2659"/>
      <c r="B2659"/>
      <c r="P2659"/>
      <c r="R2659"/>
      <c r="S2659"/>
      <c r="T2659"/>
    </row>
    <row r="2660" spans="1:20" ht="17.25" customHeight="1">
      <c r="A2660"/>
      <c r="B2660"/>
      <c r="P2660"/>
      <c r="R2660"/>
      <c r="S2660"/>
      <c r="T2660"/>
    </row>
    <row r="2661" spans="1:20" ht="17.25" customHeight="1">
      <c r="A2661"/>
      <c r="B2661"/>
      <c r="P2661"/>
      <c r="R2661"/>
      <c r="S2661"/>
      <c r="T2661"/>
    </row>
    <row r="2662" spans="1:20" ht="17.25" customHeight="1">
      <c r="A2662"/>
      <c r="B2662"/>
      <c r="P2662"/>
      <c r="R2662"/>
      <c r="S2662"/>
      <c r="T2662"/>
    </row>
    <row r="2663" spans="1:20" ht="17.25" customHeight="1">
      <c r="A2663"/>
      <c r="B2663"/>
      <c r="P2663"/>
      <c r="R2663"/>
      <c r="S2663"/>
      <c r="T2663"/>
    </row>
    <row r="2664" spans="1:20" ht="17.25" customHeight="1">
      <c r="A2664"/>
      <c r="B2664"/>
      <c r="P2664"/>
      <c r="R2664"/>
      <c r="S2664"/>
      <c r="T2664"/>
    </row>
    <row r="2665" spans="1:20" ht="17.25" customHeight="1">
      <c r="A2665"/>
      <c r="B2665"/>
      <c r="P2665"/>
      <c r="R2665"/>
      <c r="S2665"/>
      <c r="T2665"/>
    </row>
    <row r="2666" spans="1:20" ht="17.25" customHeight="1">
      <c r="A2666"/>
      <c r="B2666"/>
      <c r="P2666"/>
      <c r="R2666"/>
      <c r="S2666"/>
      <c r="T2666"/>
    </row>
    <row r="2667" spans="1:20" ht="17.25" customHeight="1">
      <c r="A2667"/>
      <c r="B2667"/>
      <c r="P2667"/>
      <c r="R2667"/>
      <c r="S2667"/>
      <c r="T2667"/>
    </row>
    <row r="2668" spans="1:20" ht="17.25" customHeight="1">
      <c r="A2668"/>
      <c r="B2668"/>
      <c r="P2668"/>
      <c r="R2668"/>
      <c r="S2668"/>
      <c r="T2668"/>
    </row>
    <row r="2669" spans="1:20" ht="17.25" customHeight="1">
      <c r="A2669"/>
      <c r="B2669"/>
      <c r="P2669"/>
      <c r="R2669"/>
      <c r="S2669"/>
      <c r="T2669"/>
    </row>
    <row r="2670" spans="1:20" ht="17.25" customHeight="1">
      <c r="A2670"/>
      <c r="B2670"/>
      <c r="P2670"/>
      <c r="R2670"/>
      <c r="S2670"/>
      <c r="T2670"/>
    </row>
    <row r="2671" spans="1:20" ht="17.25" customHeight="1">
      <c r="A2671"/>
      <c r="B2671"/>
      <c r="P2671"/>
      <c r="R2671"/>
      <c r="S2671"/>
      <c r="T2671"/>
    </row>
    <row r="2672" spans="1:20" ht="17.25" customHeight="1">
      <c r="A2672"/>
      <c r="B2672"/>
      <c r="P2672"/>
      <c r="R2672"/>
      <c r="S2672"/>
      <c r="T2672"/>
    </row>
    <row r="2673" spans="1:20" ht="17.25" customHeight="1">
      <c r="A2673"/>
      <c r="B2673"/>
      <c r="P2673"/>
      <c r="R2673"/>
      <c r="S2673"/>
      <c r="T2673"/>
    </row>
    <row r="2674" spans="1:20" ht="17.25" customHeight="1">
      <c r="A2674"/>
      <c r="B2674"/>
      <c r="P2674"/>
      <c r="R2674"/>
      <c r="S2674"/>
      <c r="T2674"/>
    </row>
    <row r="2675" spans="1:20" ht="17.25" customHeight="1">
      <c r="A2675"/>
      <c r="B2675"/>
      <c r="P2675"/>
      <c r="R2675"/>
      <c r="S2675"/>
      <c r="T2675"/>
    </row>
    <row r="2676" spans="1:20" ht="17.25" customHeight="1">
      <c r="A2676"/>
      <c r="B2676"/>
      <c r="P2676"/>
      <c r="R2676"/>
      <c r="S2676"/>
      <c r="T2676"/>
    </row>
    <row r="2677" spans="1:20" ht="17.25" customHeight="1">
      <c r="A2677"/>
      <c r="B2677"/>
      <c r="P2677"/>
      <c r="R2677"/>
      <c r="S2677"/>
      <c r="T2677"/>
    </row>
    <row r="2678" spans="1:20" ht="17.25" customHeight="1">
      <c r="A2678"/>
      <c r="B2678"/>
      <c r="P2678"/>
      <c r="R2678"/>
      <c r="S2678"/>
      <c r="T2678"/>
    </row>
    <row r="2679" spans="1:20" ht="17.25" customHeight="1">
      <c r="A2679"/>
      <c r="B2679"/>
      <c r="P2679"/>
      <c r="R2679"/>
      <c r="S2679"/>
      <c r="T2679"/>
    </row>
    <row r="2680" spans="1:20" ht="17.25" customHeight="1">
      <c r="A2680"/>
      <c r="B2680"/>
      <c r="P2680"/>
      <c r="R2680"/>
      <c r="S2680"/>
      <c r="T2680"/>
    </row>
    <row r="2681" spans="1:20" ht="17.25" customHeight="1">
      <c r="A2681"/>
      <c r="B2681"/>
      <c r="P2681"/>
      <c r="R2681"/>
      <c r="S2681"/>
      <c r="T2681"/>
    </row>
    <row r="2682" spans="1:20" ht="17.25" customHeight="1">
      <c r="A2682"/>
      <c r="B2682"/>
      <c r="P2682"/>
      <c r="R2682"/>
      <c r="S2682"/>
      <c r="T2682"/>
    </row>
    <row r="2683" spans="1:20" ht="17.25" customHeight="1">
      <c r="A2683"/>
      <c r="B2683"/>
      <c r="P2683"/>
      <c r="R2683"/>
      <c r="S2683"/>
      <c r="T2683"/>
    </row>
    <row r="2684" spans="1:20" ht="17.25" customHeight="1">
      <c r="A2684"/>
      <c r="B2684"/>
      <c r="P2684"/>
      <c r="R2684"/>
      <c r="S2684"/>
      <c r="T2684"/>
    </row>
    <row r="2685" spans="1:20" ht="17.25" customHeight="1">
      <c r="A2685"/>
      <c r="B2685"/>
      <c r="P2685"/>
      <c r="R2685"/>
      <c r="S2685"/>
      <c r="T2685"/>
    </row>
    <row r="2686" spans="1:20" ht="17.25" customHeight="1">
      <c r="A2686"/>
      <c r="B2686"/>
      <c r="P2686"/>
      <c r="R2686"/>
      <c r="S2686"/>
      <c r="T2686"/>
    </row>
    <row r="2687" spans="1:20" ht="17.25" customHeight="1">
      <c r="A2687"/>
      <c r="B2687"/>
      <c r="P2687"/>
      <c r="R2687"/>
      <c r="S2687"/>
      <c r="T2687"/>
    </row>
    <row r="2688" spans="1:20" ht="17.25" customHeight="1">
      <c r="A2688"/>
      <c r="B2688"/>
      <c r="P2688"/>
      <c r="R2688"/>
      <c r="S2688"/>
      <c r="T2688"/>
    </row>
    <row r="2689" spans="1:20" ht="17.25" customHeight="1">
      <c r="A2689"/>
      <c r="B2689"/>
      <c r="P2689"/>
      <c r="R2689"/>
      <c r="S2689"/>
      <c r="T2689"/>
    </row>
    <row r="2690" spans="1:20" ht="17.25" customHeight="1">
      <c r="A2690"/>
      <c r="B2690"/>
      <c r="P2690"/>
      <c r="R2690"/>
      <c r="S2690"/>
      <c r="T2690"/>
    </row>
    <row r="2691" spans="1:20" ht="17.25" customHeight="1">
      <c r="A2691"/>
      <c r="B2691"/>
      <c r="P2691"/>
      <c r="R2691"/>
      <c r="S2691"/>
      <c r="T2691"/>
    </row>
    <row r="2692" spans="1:20" ht="17.25" customHeight="1">
      <c r="A2692"/>
      <c r="B2692"/>
      <c r="P2692"/>
      <c r="R2692"/>
      <c r="S2692"/>
      <c r="T2692"/>
    </row>
    <row r="2693" spans="1:20" ht="17.25" customHeight="1">
      <c r="A2693"/>
      <c r="B2693"/>
      <c r="P2693"/>
      <c r="R2693"/>
      <c r="S2693"/>
      <c r="T2693"/>
    </row>
    <row r="2694" spans="1:20" ht="17.25" customHeight="1">
      <c r="A2694"/>
      <c r="B2694"/>
      <c r="P2694"/>
      <c r="R2694"/>
      <c r="S2694"/>
      <c r="T2694"/>
    </row>
    <row r="2695" spans="1:20" ht="17.25" customHeight="1">
      <c r="A2695"/>
      <c r="B2695"/>
      <c r="P2695"/>
      <c r="R2695"/>
      <c r="S2695"/>
      <c r="T2695"/>
    </row>
    <row r="2696" spans="1:20" ht="17.25" customHeight="1">
      <c r="A2696"/>
      <c r="B2696"/>
      <c r="P2696"/>
      <c r="R2696"/>
      <c r="S2696"/>
      <c r="T2696"/>
    </row>
    <row r="2697" spans="1:20" ht="17.25" customHeight="1">
      <c r="A2697"/>
      <c r="B2697"/>
      <c r="P2697"/>
      <c r="R2697"/>
      <c r="S2697"/>
      <c r="T2697"/>
    </row>
    <row r="2698" spans="1:20" ht="17.25" customHeight="1">
      <c r="A2698"/>
      <c r="B2698"/>
      <c r="P2698"/>
      <c r="R2698"/>
      <c r="S2698"/>
      <c r="T2698"/>
    </row>
    <row r="2699" spans="1:20" ht="17.25" customHeight="1">
      <c r="A2699"/>
      <c r="B2699"/>
      <c r="P2699"/>
      <c r="R2699"/>
      <c r="S2699"/>
      <c r="T2699"/>
    </row>
    <row r="2700" spans="1:20" ht="17.25" customHeight="1">
      <c r="A2700"/>
      <c r="B2700"/>
      <c r="P2700"/>
      <c r="R2700"/>
      <c r="S2700"/>
      <c r="T2700"/>
    </row>
    <row r="2701" spans="1:20" ht="17.25" customHeight="1">
      <c r="A2701"/>
      <c r="B2701"/>
      <c r="P2701"/>
      <c r="R2701"/>
      <c r="S2701"/>
      <c r="T2701"/>
    </row>
    <row r="2702" spans="1:20" ht="17.25" customHeight="1">
      <c r="A2702"/>
      <c r="B2702"/>
      <c r="P2702"/>
      <c r="R2702"/>
      <c r="S2702"/>
      <c r="T2702"/>
    </row>
    <row r="2703" spans="1:20" ht="17.25" customHeight="1">
      <c r="A2703"/>
      <c r="B2703"/>
      <c r="P2703"/>
      <c r="R2703"/>
      <c r="S2703"/>
      <c r="T2703"/>
    </row>
    <row r="2704" spans="1:20" ht="17.25" customHeight="1">
      <c r="A2704"/>
      <c r="B2704"/>
      <c r="P2704"/>
      <c r="R2704"/>
      <c r="S2704"/>
      <c r="T2704"/>
    </row>
    <row r="2705" spans="1:20" ht="17.25" customHeight="1">
      <c r="A2705"/>
      <c r="B2705"/>
      <c r="P2705"/>
      <c r="R2705"/>
      <c r="S2705"/>
      <c r="T2705"/>
    </row>
    <row r="2706" spans="1:20" ht="17.25" customHeight="1">
      <c r="A2706"/>
      <c r="B2706"/>
      <c r="P2706"/>
      <c r="R2706"/>
      <c r="S2706"/>
      <c r="T2706"/>
    </row>
    <row r="2707" spans="1:20" ht="17.25" customHeight="1">
      <c r="A2707"/>
      <c r="B2707"/>
      <c r="P2707"/>
      <c r="R2707"/>
      <c r="S2707"/>
      <c r="T2707"/>
    </row>
    <row r="2708" spans="1:20" ht="17.25" customHeight="1">
      <c r="A2708"/>
      <c r="B2708"/>
      <c r="P2708"/>
      <c r="R2708"/>
      <c r="S2708"/>
      <c r="T2708"/>
    </row>
    <row r="2709" spans="1:20" ht="17.25" customHeight="1">
      <c r="A2709"/>
      <c r="B2709"/>
      <c r="P2709"/>
      <c r="R2709"/>
      <c r="S2709"/>
      <c r="T2709"/>
    </row>
    <row r="2710" spans="1:20" ht="17.25" customHeight="1">
      <c r="A2710"/>
      <c r="B2710"/>
      <c r="P2710"/>
      <c r="R2710"/>
      <c r="S2710"/>
      <c r="T2710"/>
    </row>
    <row r="2711" spans="1:20" ht="17.25" customHeight="1">
      <c r="A2711"/>
      <c r="B2711"/>
      <c r="P2711"/>
      <c r="R2711"/>
      <c r="S2711"/>
      <c r="T2711"/>
    </row>
    <row r="2712" spans="1:20" ht="17.25" customHeight="1">
      <c r="A2712"/>
      <c r="B2712"/>
      <c r="P2712"/>
      <c r="R2712"/>
      <c r="S2712"/>
      <c r="T2712"/>
    </row>
    <row r="2713" spans="1:20" ht="17.25" customHeight="1">
      <c r="A2713"/>
      <c r="B2713"/>
      <c r="P2713"/>
      <c r="R2713"/>
      <c r="S2713"/>
      <c r="T2713"/>
    </row>
    <row r="2714" spans="1:20" ht="17.25" customHeight="1">
      <c r="A2714"/>
      <c r="B2714"/>
      <c r="P2714"/>
      <c r="R2714"/>
      <c r="S2714"/>
      <c r="T2714"/>
    </row>
    <row r="2715" spans="1:20" ht="17.25" customHeight="1">
      <c r="A2715"/>
      <c r="B2715"/>
      <c r="P2715"/>
      <c r="R2715"/>
      <c r="S2715"/>
      <c r="T2715"/>
    </row>
    <row r="2716" spans="1:20" ht="17.25" customHeight="1">
      <c r="A2716"/>
      <c r="B2716"/>
      <c r="P2716"/>
      <c r="R2716"/>
      <c r="S2716"/>
      <c r="T2716"/>
    </row>
    <row r="2717" spans="1:20" ht="17.25" customHeight="1">
      <c r="A2717"/>
      <c r="B2717"/>
      <c r="P2717"/>
      <c r="R2717"/>
      <c r="S2717"/>
      <c r="T2717"/>
    </row>
    <row r="2718" spans="1:20" ht="17.25" customHeight="1">
      <c r="A2718"/>
      <c r="B2718"/>
      <c r="P2718"/>
      <c r="R2718"/>
      <c r="S2718"/>
      <c r="T2718"/>
    </row>
    <row r="2719" spans="1:20" ht="17.25" customHeight="1">
      <c r="A2719"/>
      <c r="B2719"/>
      <c r="P2719"/>
      <c r="R2719"/>
      <c r="S2719"/>
      <c r="T2719"/>
    </row>
    <row r="2720" spans="1:20" ht="17.25" customHeight="1">
      <c r="A2720"/>
      <c r="B2720"/>
      <c r="P2720"/>
      <c r="R2720"/>
      <c r="S2720"/>
      <c r="T2720"/>
    </row>
    <row r="2721" spans="1:20" ht="17.25" customHeight="1">
      <c r="A2721"/>
      <c r="B2721"/>
      <c r="P2721"/>
      <c r="R2721"/>
      <c r="S2721"/>
      <c r="T2721"/>
    </row>
    <row r="2722" spans="1:20" ht="17.25" customHeight="1">
      <c r="A2722"/>
      <c r="B2722"/>
      <c r="P2722"/>
      <c r="R2722"/>
      <c r="S2722"/>
      <c r="T2722"/>
    </row>
    <row r="2723" spans="1:20" ht="17.25" customHeight="1">
      <c r="A2723"/>
      <c r="B2723"/>
      <c r="P2723"/>
      <c r="R2723"/>
      <c r="S2723"/>
      <c r="T2723"/>
    </row>
    <row r="2724" spans="1:20" ht="17.25" customHeight="1">
      <c r="A2724"/>
      <c r="B2724"/>
      <c r="P2724"/>
      <c r="R2724"/>
      <c r="S2724"/>
      <c r="T2724"/>
    </row>
    <row r="2725" spans="1:20" ht="17.25" customHeight="1">
      <c r="A2725"/>
      <c r="B2725"/>
      <c r="P2725"/>
      <c r="R2725"/>
      <c r="S2725"/>
      <c r="T2725"/>
    </row>
    <row r="2726" spans="1:20" ht="17.25" customHeight="1">
      <c r="A2726"/>
      <c r="B2726"/>
      <c r="P2726"/>
      <c r="R2726"/>
      <c r="S2726"/>
      <c r="T2726"/>
    </row>
    <row r="2727" spans="1:20" ht="17.25" customHeight="1">
      <c r="A2727"/>
      <c r="B2727"/>
      <c r="P2727"/>
      <c r="R2727"/>
      <c r="S2727"/>
      <c r="T2727"/>
    </row>
    <row r="2728" spans="1:20" ht="17.25" customHeight="1">
      <c r="A2728"/>
      <c r="B2728"/>
      <c r="P2728"/>
      <c r="R2728"/>
      <c r="S2728"/>
      <c r="T2728"/>
    </row>
    <row r="2729" spans="1:20" ht="17.25" customHeight="1">
      <c r="A2729"/>
      <c r="B2729"/>
      <c r="P2729"/>
      <c r="R2729"/>
      <c r="S2729"/>
      <c r="T2729"/>
    </row>
    <row r="2730" spans="1:20" ht="17.25" customHeight="1">
      <c r="A2730"/>
      <c r="B2730"/>
      <c r="P2730"/>
      <c r="R2730"/>
      <c r="S2730"/>
      <c r="T2730"/>
    </row>
    <row r="2731" spans="1:20" ht="17.25" customHeight="1">
      <c r="A2731"/>
      <c r="B2731"/>
      <c r="P2731"/>
      <c r="R2731"/>
      <c r="S2731"/>
      <c r="T2731"/>
    </row>
    <row r="2732" spans="1:20" ht="17.25" customHeight="1">
      <c r="A2732"/>
      <c r="B2732"/>
      <c r="P2732"/>
      <c r="R2732"/>
      <c r="S2732"/>
      <c r="T2732"/>
    </row>
    <row r="2733" spans="1:20" ht="17.25" customHeight="1">
      <c r="A2733"/>
      <c r="B2733"/>
      <c r="P2733"/>
      <c r="R2733"/>
      <c r="S2733"/>
      <c r="T2733"/>
    </row>
    <row r="2734" spans="1:20" ht="17.25" customHeight="1">
      <c r="A2734"/>
      <c r="B2734"/>
      <c r="P2734"/>
      <c r="R2734"/>
      <c r="S2734"/>
      <c r="T2734"/>
    </row>
    <row r="2735" spans="1:20" ht="17.25" customHeight="1">
      <c r="A2735"/>
      <c r="B2735"/>
      <c r="P2735"/>
      <c r="R2735"/>
      <c r="S2735"/>
      <c r="T2735"/>
    </row>
    <row r="2736" spans="1:20" ht="17.25" customHeight="1">
      <c r="A2736"/>
      <c r="B2736"/>
      <c r="P2736"/>
      <c r="R2736"/>
      <c r="S2736"/>
      <c r="T2736"/>
    </row>
    <row r="2737" spans="1:20" ht="17.25" customHeight="1">
      <c r="A2737"/>
      <c r="B2737"/>
      <c r="P2737"/>
      <c r="R2737"/>
      <c r="S2737"/>
      <c r="T2737"/>
    </row>
    <row r="2738" spans="1:20" ht="17.25" customHeight="1">
      <c r="A2738"/>
      <c r="B2738"/>
      <c r="P2738"/>
      <c r="R2738"/>
      <c r="S2738"/>
      <c r="T2738"/>
    </row>
    <row r="2739" spans="1:20" ht="17.25" customHeight="1">
      <c r="A2739"/>
      <c r="B2739"/>
      <c r="P2739"/>
      <c r="R2739"/>
      <c r="S2739"/>
      <c r="T2739"/>
    </row>
    <row r="2740" spans="1:20" ht="17.25" customHeight="1">
      <c r="A2740"/>
      <c r="B2740"/>
      <c r="P2740"/>
      <c r="R2740"/>
      <c r="S2740"/>
      <c r="T2740"/>
    </row>
    <row r="2741" spans="1:20" ht="17.25" customHeight="1">
      <c r="A2741"/>
      <c r="B2741"/>
      <c r="P2741"/>
      <c r="R2741"/>
      <c r="S2741"/>
      <c r="T2741"/>
    </row>
    <row r="2742" spans="1:20" ht="17.25" customHeight="1">
      <c r="A2742"/>
      <c r="B2742"/>
      <c r="P2742"/>
      <c r="R2742"/>
      <c r="S2742"/>
      <c r="T2742"/>
    </row>
    <row r="2743" spans="1:20" ht="17.25" customHeight="1">
      <c r="A2743"/>
      <c r="B2743"/>
      <c r="P2743"/>
      <c r="R2743"/>
      <c r="S2743"/>
      <c r="T2743"/>
    </row>
    <row r="2744" spans="1:20" ht="17.25" customHeight="1">
      <c r="A2744"/>
      <c r="B2744"/>
      <c r="P2744"/>
      <c r="R2744"/>
      <c r="S2744"/>
      <c r="T2744"/>
    </row>
    <row r="2745" spans="1:20" ht="17.25" customHeight="1">
      <c r="A2745"/>
      <c r="B2745"/>
      <c r="P2745"/>
      <c r="R2745"/>
      <c r="S2745"/>
      <c r="T2745"/>
    </row>
    <row r="2746" spans="1:20" ht="17.25" customHeight="1">
      <c r="A2746"/>
      <c r="B2746"/>
      <c r="P2746"/>
      <c r="R2746"/>
      <c r="S2746"/>
      <c r="T2746"/>
    </row>
    <row r="2747" spans="1:20" ht="17.25" customHeight="1">
      <c r="A2747"/>
      <c r="B2747"/>
      <c r="P2747"/>
      <c r="R2747"/>
      <c r="S2747"/>
      <c r="T2747"/>
    </row>
    <row r="2748" spans="1:20" ht="17.25" customHeight="1">
      <c r="A2748"/>
      <c r="B2748"/>
      <c r="P2748"/>
      <c r="R2748"/>
      <c r="S2748"/>
      <c r="T2748"/>
    </row>
    <row r="2749" spans="1:20" ht="17.25" customHeight="1">
      <c r="A2749"/>
      <c r="B2749"/>
      <c r="P2749"/>
      <c r="R2749"/>
      <c r="S2749"/>
      <c r="T2749"/>
    </row>
    <row r="2750" spans="1:20" ht="17.25" customHeight="1">
      <c r="A2750"/>
      <c r="B2750"/>
      <c r="P2750"/>
      <c r="R2750"/>
      <c r="S2750"/>
      <c r="T2750"/>
    </row>
    <row r="2751" spans="1:20" ht="17.25" customHeight="1">
      <c r="A2751"/>
      <c r="B2751"/>
      <c r="P2751"/>
      <c r="R2751"/>
      <c r="S2751"/>
      <c r="T2751"/>
    </row>
    <row r="2752" spans="1:20" ht="17.25" customHeight="1">
      <c r="A2752"/>
      <c r="B2752"/>
      <c r="P2752"/>
      <c r="R2752"/>
      <c r="S2752"/>
      <c r="T2752"/>
    </row>
    <row r="2753" spans="1:20" ht="17.25" customHeight="1">
      <c r="A2753"/>
      <c r="B2753"/>
      <c r="P2753"/>
      <c r="R2753"/>
      <c r="S2753"/>
      <c r="T2753"/>
    </row>
    <row r="2754" spans="1:20" ht="17.25" customHeight="1">
      <c r="A2754"/>
      <c r="B2754"/>
      <c r="P2754"/>
      <c r="R2754"/>
      <c r="S2754"/>
      <c r="T2754"/>
    </row>
    <row r="2755" spans="1:20" ht="17.25" customHeight="1">
      <c r="A2755"/>
      <c r="B2755"/>
      <c r="P2755"/>
      <c r="R2755"/>
      <c r="S2755"/>
      <c r="T2755"/>
    </row>
    <row r="2756" spans="1:20" ht="17.25" customHeight="1">
      <c r="A2756"/>
      <c r="B2756"/>
      <c r="P2756"/>
      <c r="R2756"/>
      <c r="S2756"/>
      <c r="T2756"/>
    </row>
    <row r="2757" spans="1:20" ht="17.25" customHeight="1">
      <c r="A2757"/>
      <c r="B2757"/>
      <c r="P2757"/>
      <c r="R2757"/>
      <c r="S2757"/>
      <c r="T2757"/>
    </row>
    <row r="2758" spans="1:20" ht="17.25" customHeight="1">
      <c r="A2758"/>
      <c r="B2758"/>
      <c r="P2758"/>
      <c r="R2758"/>
      <c r="S2758"/>
      <c r="T2758"/>
    </row>
    <row r="2759" spans="1:20" ht="17.25" customHeight="1">
      <c r="A2759"/>
      <c r="B2759"/>
      <c r="P2759"/>
      <c r="R2759"/>
      <c r="S2759"/>
      <c r="T2759"/>
    </row>
    <row r="2760" spans="1:20" ht="17.25" customHeight="1">
      <c r="A2760"/>
      <c r="B2760"/>
      <c r="P2760"/>
      <c r="R2760"/>
      <c r="S2760"/>
      <c r="T2760"/>
    </row>
    <row r="2761" spans="1:20" ht="17.25" customHeight="1">
      <c r="A2761"/>
      <c r="B2761"/>
      <c r="P2761"/>
      <c r="R2761"/>
      <c r="S2761"/>
      <c r="T2761"/>
    </row>
    <row r="2762" spans="1:20" ht="17.25" customHeight="1">
      <c r="A2762"/>
      <c r="B2762"/>
      <c r="P2762"/>
      <c r="R2762"/>
      <c r="S2762"/>
      <c r="T2762"/>
    </row>
    <row r="2763" spans="1:20" ht="17.25" customHeight="1">
      <c r="A2763"/>
      <c r="B2763"/>
      <c r="P2763"/>
      <c r="R2763"/>
      <c r="S2763"/>
      <c r="T2763"/>
    </row>
    <row r="2764" spans="1:20" ht="17.25" customHeight="1">
      <c r="A2764"/>
      <c r="B2764"/>
      <c r="P2764"/>
      <c r="R2764"/>
      <c r="S2764"/>
      <c r="T2764"/>
    </row>
    <row r="2765" spans="1:20" ht="17.25" customHeight="1">
      <c r="A2765"/>
      <c r="B2765"/>
      <c r="P2765"/>
      <c r="R2765"/>
      <c r="S2765"/>
      <c r="T2765"/>
    </row>
    <row r="2766" spans="1:20" ht="17.25" customHeight="1">
      <c r="A2766"/>
      <c r="B2766"/>
      <c r="P2766"/>
      <c r="R2766"/>
      <c r="S2766"/>
      <c r="T2766"/>
    </row>
    <row r="2767" spans="1:20" ht="17.25" customHeight="1">
      <c r="A2767"/>
      <c r="B2767"/>
      <c r="P2767"/>
      <c r="R2767"/>
      <c r="S2767"/>
      <c r="T2767"/>
    </row>
    <row r="2768" spans="1:20" ht="17.25" customHeight="1">
      <c r="A2768"/>
      <c r="B2768"/>
      <c r="P2768"/>
      <c r="R2768"/>
      <c r="S2768"/>
      <c r="T2768"/>
    </row>
    <row r="2769" spans="1:20" ht="17.25" customHeight="1">
      <c r="A2769"/>
      <c r="B2769"/>
      <c r="P2769"/>
      <c r="R2769"/>
      <c r="S2769"/>
      <c r="T2769"/>
    </row>
    <row r="2770" spans="1:20" ht="17.25" customHeight="1">
      <c r="A2770"/>
      <c r="B2770"/>
      <c r="P2770"/>
      <c r="R2770"/>
      <c r="S2770"/>
      <c r="T2770"/>
    </row>
    <row r="2771" spans="1:20" ht="17.25" customHeight="1">
      <c r="A2771"/>
      <c r="B2771"/>
      <c r="P2771"/>
      <c r="R2771"/>
      <c r="S2771"/>
      <c r="T2771"/>
    </row>
    <row r="2772" spans="1:20" ht="17.25" customHeight="1">
      <c r="A2772"/>
      <c r="B2772"/>
      <c r="P2772"/>
      <c r="R2772"/>
      <c r="S2772"/>
      <c r="T2772"/>
    </row>
    <row r="2773" spans="1:20" ht="17.25" customHeight="1">
      <c r="A2773"/>
      <c r="B2773"/>
      <c r="P2773"/>
      <c r="R2773"/>
      <c r="S2773"/>
      <c r="T2773"/>
    </row>
    <row r="2774" spans="1:20" ht="17.25" customHeight="1">
      <c r="A2774"/>
      <c r="B2774"/>
      <c r="P2774"/>
      <c r="R2774"/>
      <c r="S2774"/>
      <c r="T2774"/>
    </row>
    <row r="2775" spans="1:20" ht="17.25" customHeight="1">
      <c r="A2775"/>
      <c r="B2775"/>
      <c r="P2775"/>
      <c r="R2775"/>
      <c r="S2775"/>
      <c r="T2775"/>
    </row>
    <row r="2776" spans="1:20" ht="17.25" customHeight="1">
      <c r="A2776"/>
      <c r="B2776"/>
      <c r="P2776"/>
      <c r="R2776"/>
      <c r="S2776"/>
      <c r="T2776"/>
    </row>
    <row r="2777" spans="1:20" ht="17.25" customHeight="1">
      <c r="A2777"/>
      <c r="B2777"/>
      <c r="P2777"/>
      <c r="R2777"/>
      <c r="S2777"/>
      <c r="T2777"/>
    </row>
    <row r="2778" spans="1:20" ht="17.25" customHeight="1">
      <c r="A2778"/>
      <c r="B2778"/>
      <c r="P2778"/>
      <c r="R2778"/>
      <c r="S2778"/>
      <c r="T2778"/>
    </row>
    <row r="2779" spans="1:20" ht="17.25" customHeight="1">
      <c r="A2779"/>
      <c r="B2779"/>
      <c r="P2779"/>
      <c r="R2779"/>
      <c r="S2779"/>
      <c r="T2779"/>
    </row>
    <row r="2780" spans="1:20" ht="17.25" customHeight="1">
      <c r="A2780"/>
      <c r="B2780"/>
      <c r="P2780"/>
      <c r="R2780"/>
      <c r="S2780"/>
      <c r="T2780"/>
    </row>
    <row r="2781" spans="1:20" ht="17.25" customHeight="1">
      <c r="A2781"/>
      <c r="B2781"/>
      <c r="P2781"/>
      <c r="R2781"/>
      <c r="S2781"/>
      <c r="T2781"/>
    </row>
    <row r="2782" spans="1:20" ht="17.25" customHeight="1">
      <c r="A2782"/>
      <c r="B2782"/>
      <c r="P2782"/>
      <c r="R2782"/>
      <c r="S2782"/>
      <c r="T2782"/>
    </row>
    <row r="2783" spans="1:20" ht="17.25" customHeight="1">
      <c r="A2783"/>
      <c r="B2783"/>
      <c r="P2783"/>
      <c r="R2783"/>
      <c r="S2783"/>
      <c r="T2783"/>
    </row>
    <row r="2784" spans="1:20" ht="17.25" customHeight="1">
      <c r="A2784"/>
      <c r="B2784"/>
      <c r="P2784"/>
      <c r="R2784"/>
      <c r="S2784"/>
      <c r="T2784"/>
    </row>
    <row r="2785" spans="1:20" ht="17.25" customHeight="1">
      <c r="A2785"/>
      <c r="B2785"/>
      <c r="P2785"/>
      <c r="R2785"/>
      <c r="S2785"/>
      <c r="T2785"/>
    </row>
    <row r="2786" spans="1:20" ht="17.25" customHeight="1">
      <c r="A2786"/>
      <c r="B2786"/>
      <c r="P2786"/>
      <c r="R2786"/>
      <c r="S2786"/>
      <c r="T2786"/>
    </row>
    <row r="2787" spans="1:20" ht="17.25" customHeight="1">
      <c r="A2787"/>
      <c r="B2787"/>
      <c r="P2787"/>
      <c r="R2787"/>
      <c r="S2787"/>
      <c r="T2787"/>
    </row>
    <row r="2788" spans="1:20" ht="17.25" customHeight="1">
      <c r="A2788"/>
      <c r="B2788"/>
      <c r="P2788"/>
      <c r="R2788"/>
      <c r="S2788"/>
      <c r="T2788"/>
    </row>
    <row r="2789" spans="1:20" ht="17.25" customHeight="1">
      <c r="A2789"/>
      <c r="B2789"/>
      <c r="P2789"/>
      <c r="R2789"/>
      <c r="S2789"/>
      <c r="T2789"/>
    </row>
    <row r="2790" spans="1:20" ht="17.25" customHeight="1">
      <c r="A2790"/>
      <c r="B2790"/>
      <c r="P2790"/>
      <c r="R2790"/>
      <c r="S2790"/>
      <c r="T2790"/>
    </row>
    <row r="2791" spans="1:20" ht="17.25" customHeight="1">
      <c r="A2791"/>
      <c r="B2791"/>
      <c r="P2791"/>
      <c r="R2791"/>
      <c r="S2791"/>
      <c r="T2791"/>
    </row>
    <row r="2792" spans="1:20" ht="17.25" customHeight="1">
      <c r="A2792"/>
      <c r="B2792"/>
      <c r="P2792"/>
      <c r="R2792"/>
      <c r="S2792"/>
      <c r="T2792"/>
    </row>
    <row r="2793" spans="1:20" ht="17.25" customHeight="1">
      <c r="A2793"/>
      <c r="B2793"/>
      <c r="P2793"/>
      <c r="R2793"/>
      <c r="S2793"/>
      <c r="T2793"/>
    </row>
    <row r="2794" spans="1:20" ht="17.25" customHeight="1">
      <c r="A2794"/>
      <c r="B2794"/>
      <c r="P2794"/>
      <c r="R2794"/>
      <c r="S2794"/>
      <c r="T2794"/>
    </row>
    <row r="2795" spans="1:20" ht="17.25" customHeight="1">
      <c r="A2795"/>
      <c r="B2795"/>
      <c r="P2795"/>
      <c r="R2795"/>
      <c r="S2795"/>
      <c r="T2795"/>
    </row>
    <row r="2796" spans="1:20" ht="17.25" customHeight="1">
      <c r="A2796"/>
      <c r="B2796"/>
      <c r="P2796"/>
      <c r="R2796"/>
      <c r="S2796"/>
      <c r="T2796"/>
    </row>
    <row r="2797" spans="1:20" ht="17.25" customHeight="1">
      <c r="A2797"/>
      <c r="B2797"/>
      <c r="P2797"/>
      <c r="R2797"/>
      <c r="S2797"/>
      <c r="T2797"/>
    </row>
    <row r="2798" spans="1:20" ht="17.25" customHeight="1">
      <c r="A2798"/>
      <c r="B2798"/>
      <c r="P2798"/>
      <c r="R2798"/>
      <c r="S2798"/>
      <c r="T2798"/>
    </row>
    <row r="2799" spans="1:20" ht="17.25" customHeight="1">
      <c r="A2799"/>
      <c r="B2799"/>
      <c r="P2799"/>
      <c r="R2799"/>
      <c r="S2799"/>
      <c r="T2799"/>
    </row>
    <row r="2800" spans="1:20" ht="17.25" customHeight="1">
      <c r="A2800"/>
      <c r="B2800"/>
      <c r="P2800"/>
      <c r="R2800"/>
      <c r="S2800"/>
      <c r="T2800"/>
    </row>
    <row r="2801" spans="1:20" ht="17.25" customHeight="1">
      <c r="A2801"/>
      <c r="B2801"/>
      <c r="P2801"/>
      <c r="R2801"/>
      <c r="S2801"/>
      <c r="T2801"/>
    </row>
    <row r="2802" spans="1:20" ht="17.25" customHeight="1">
      <c r="A2802"/>
      <c r="B2802"/>
      <c r="P2802"/>
      <c r="R2802"/>
      <c r="S2802"/>
      <c r="T2802"/>
    </row>
    <row r="2803" spans="1:20" ht="17.25" customHeight="1">
      <c r="A2803"/>
      <c r="B2803"/>
      <c r="P2803"/>
      <c r="R2803"/>
      <c r="S2803"/>
      <c r="T2803"/>
    </row>
    <row r="2804" spans="1:20" ht="17.25" customHeight="1">
      <c r="A2804"/>
      <c r="B2804"/>
      <c r="P2804"/>
      <c r="R2804"/>
      <c r="S2804"/>
      <c r="T2804"/>
    </row>
    <row r="2805" spans="1:20" ht="17.25" customHeight="1">
      <c r="A2805"/>
      <c r="B2805"/>
      <c r="P2805"/>
      <c r="R2805"/>
      <c r="S2805"/>
      <c r="T2805"/>
    </row>
    <row r="2806" spans="1:20" ht="17.25" customHeight="1">
      <c r="A2806"/>
      <c r="B2806"/>
      <c r="P2806"/>
      <c r="R2806"/>
      <c r="S2806"/>
      <c r="T2806"/>
    </row>
    <row r="2807" spans="1:20" ht="17.25" customHeight="1">
      <c r="A2807"/>
      <c r="B2807"/>
      <c r="P2807"/>
      <c r="R2807"/>
      <c r="S2807"/>
      <c r="T2807"/>
    </row>
    <row r="2808" spans="1:20" ht="17.25" customHeight="1">
      <c r="A2808"/>
      <c r="B2808"/>
      <c r="P2808"/>
      <c r="R2808"/>
      <c r="S2808"/>
      <c r="T2808"/>
    </row>
    <row r="2809" spans="1:20" ht="17.25" customHeight="1">
      <c r="A2809"/>
      <c r="B2809"/>
      <c r="P2809"/>
      <c r="R2809"/>
      <c r="S2809"/>
      <c r="T2809"/>
    </row>
    <row r="2810" spans="1:20" ht="17.25" customHeight="1">
      <c r="A2810"/>
      <c r="B2810"/>
      <c r="P2810"/>
      <c r="R2810"/>
      <c r="S2810"/>
      <c r="T2810"/>
    </row>
    <row r="2811" spans="1:20" ht="17.25" customHeight="1">
      <c r="A2811"/>
      <c r="B2811"/>
      <c r="P2811"/>
      <c r="R2811"/>
      <c r="S2811"/>
      <c r="T2811"/>
    </row>
    <row r="2812" spans="1:20" ht="17.25" customHeight="1">
      <c r="A2812"/>
      <c r="B2812"/>
      <c r="P2812"/>
      <c r="R2812"/>
      <c r="S2812"/>
      <c r="T2812"/>
    </row>
    <row r="2813" spans="1:20" ht="17.25" customHeight="1">
      <c r="A2813"/>
      <c r="B2813"/>
      <c r="P2813"/>
      <c r="R2813"/>
      <c r="S2813"/>
      <c r="T2813"/>
    </row>
    <row r="2814" spans="1:20" ht="17.25" customHeight="1">
      <c r="A2814"/>
      <c r="B2814"/>
      <c r="P2814"/>
      <c r="R2814"/>
      <c r="S2814"/>
      <c r="T2814"/>
    </row>
    <row r="2815" spans="1:20" ht="17.25" customHeight="1">
      <c r="A2815"/>
      <c r="B2815"/>
      <c r="P2815"/>
      <c r="R2815"/>
      <c r="S2815"/>
      <c r="T2815"/>
    </row>
    <row r="2816" spans="1:20" ht="17.25" customHeight="1">
      <c r="A2816"/>
      <c r="B2816"/>
      <c r="P2816"/>
      <c r="R2816"/>
      <c r="S2816"/>
      <c r="T2816"/>
    </row>
    <row r="2817" spans="1:20" ht="17.25" customHeight="1">
      <c r="A2817"/>
      <c r="B2817"/>
      <c r="P2817"/>
      <c r="R2817"/>
      <c r="S2817"/>
      <c r="T2817"/>
    </row>
    <row r="2818" spans="1:20" ht="17.25" customHeight="1">
      <c r="A2818"/>
      <c r="B2818"/>
      <c r="P2818"/>
      <c r="R2818"/>
      <c r="S2818"/>
      <c r="T2818"/>
    </row>
    <row r="2819" spans="1:20" ht="17.25" customHeight="1">
      <c r="A2819"/>
      <c r="B2819"/>
      <c r="P2819"/>
      <c r="R2819"/>
      <c r="S2819"/>
      <c r="T2819"/>
    </row>
    <row r="2820" spans="1:20" ht="17.25" customHeight="1">
      <c r="A2820"/>
      <c r="B2820"/>
      <c r="P2820"/>
      <c r="R2820"/>
      <c r="S2820"/>
      <c r="T2820"/>
    </row>
    <row r="2821" spans="1:20" ht="17.25" customHeight="1">
      <c r="A2821"/>
      <c r="B2821"/>
      <c r="P2821"/>
      <c r="R2821"/>
      <c r="S2821"/>
      <c r="T2821"/>
    </row>
    <row r="2822" spans="1:20" ht="17.25" customHeight="1">
      <c r="A2822"/>
      <c r="B2822"/>
      <c r="P2822"/>
      <c r="R2822"/>
      <c r="S2822"/>
      <c r="T2822"/>
    </row>
    <row r="2823" spans="1:20" ht="17.25" customHeight="1">
      <c r="A2823"/>
      <c r="B2823"/>
      <c r="P2823"/>
      <c r="R2823"/>
      <c r="S2823"/>
      <c r="T2823"/>
    </row>
    <row r="2824" spans="1:20" ht="17.25" customHeight="1">
      <c r="A2824"/>
      <c r="B2824"/>
      <c r="P2824"/>
      <c r="R2824"/>
      <c r="S2824"/>
      <c r="T2824"/>
    </row>
    <row r="2825" spans="1:20" ht="17.25" customHeight="1">
      <c r="A2825"/>
      <c r="B2825"/>
      <c r="P2825"/>
      <c r="R2825"/>
      <c r="S2825"/>
      <c r="T2825"/>
    </row>
    <row r="2826" spans="1:20" ht="17.25" customHeight="1">
      <c r="A2826"/>
      <c r="B2826"/>
      <c r="P2826"/>
      <c r="R2826"/>
      <c r="S2826"/>
      <c r="T2826"/>
    </row>
    <row r="2827" spans="1:20" ht="17.25" customHeight="1">
      <c r="A2827"/>
      <c r="B2827"/>
      <c r="P2827"/>
      <c r="R2827"/>
      <c r="S2827"/>
      <c r="T2827"/>
    </row>
    <row r="2828" spans="1:20" ht="17.25" customHeight="1">
      <c r="A2828"/>
      <c r="B2828"/>
      <c r="P2828"/>
      <c r="R2828"/>
      <c r="S2828"/>
      <c r="T2828"/>
    </row>
    <row r="2829" spans="1:20" ht="17.25" customHeight="1">
      <c r="A2829"/>
      <c r="B2829"/>
      <c r="P2829"/>
      <c r="R2829"/>
      <c r="S2829"/>
      <c r="T2829"/>
    </row>
    <row r="2830" spans="1:20" ht="17.25" customHeight="1">
      <c r="A2830"/>
      <c r="B2830"/>
      <c r="P2830"/>
      <c r="R2830"/>
      <c r="S2830"/>
      <c r="T2830"/>
    </row>
    <row r="2831" spans="1:20" ht="17.25" customHeight="1">
      <c r="A2831"/>
      <c r="B2831"/>
      <c r="P2831"/>
      <c r="R2831"/>
      <c r="S2831"/>
      <c r="T2831"/>
    </row>
    <row r="2832" spans="1:20" ht="17.25" customHeight="1">
      <c r="A2832"/>
      <c r="B2832"/>
      <c r="P2832"/>
      <c r="R2832"/>
      <c r="S2832"/>
      <c r="T2832"/>
    </row>
    <row r="2833" spans="1:20" ht="17.25" customHeight="1">
      <c r="A2833"/>
      <c r="B2833"/>
      <c r="P2833"/>
      <c r="R2833"/>
      <c r="S2833"/>
      <c r="T2833"/>
    </row>
    <row r="2834" spans="1:20" ht="17.25" customHeight="1">
      <c r="A2834"/>
      <c r="B2834"/>
      <c r="P2834"/>
      <c r="R2834"/>
      <c r="S2834"/>
      <c r="T2834"/>
    </row>
    <row r="2835" spans="1:20" ht="17.25" customHeight="1">
      <c r="A2835"/>
      <c r="B2835"/>
      <c r="P2835"/>
      <c r="R2835"/>
      <c r="S2835"/>
      <c r="T2835"/>
    </row>
    <row r="2836" spans="1:20" ht="17.25" customHeight="1">
      <c r="A2836"/>
      <c r="B2836"/>
      <c r="P2836"/>
      <c r="R2836"/>
      <c r="S2836"/>
      <c r="T2836"/>
    </row>
    <row r="2837" spans="1:20" ht="17.25" customHeight="1">
      <c r="A2837"/>
      <c r="B2837"/>
      <c r="P2837"/>
      <c r="R2837"/>
      <c r="S2837"/>
      <c r="T2837"/>
    </row>
    <row r="2838" spans="1:20" ht="17.25" customHeight="1">
      <c r="A2838"/>
      <c r="B2838"/>
      <c r="P2838"/>
      <c r="R2838"/>
      <c r="S2838"/>
      <c r="T2838"/>
    </row>
    <row r="2839" spans="1:20" ht="17.25" customHeight="1">
      <c r="A2839"/>
      <c r="B2839"/>
      <c r="P2839"/>
      <c r="R2839"/>
      <c r="S2839"/>
      <c r="T2839"/>
    </row>
    <row r="2840" spans="1:20" ht="17.25" customHeight="1">
      <c r="A2840"/>
      <c r="B2840"/>
      <c r="P2840"/>
      <c r="R2840"/>
      <c r="S2840"/>
      <c r="T2840"/>
    </row>
    <row r="2841" spans="1:20" ht="17.25" customHeight="1">
      <c r="A2841"/>
      <c r="B2841"/>
      <c r="P2841"/>
      <c r="R2841"/>
      <c r="S2841"/>
      <c r="T2841"/>
    </row>
    <row r="2842" spans="1:20" ht="17.25" customHeight="1">
      <c r="A2842"/>
      <c r="B2842"/>
      <c r="P2842"/>
      <c r="R2842"/>
      <c r="S2842"/>
      <c r="T2842"/>
    </row>
    <row r="2843" spans="1:20" ht="17.25" customHeight="1">
      <c r="A2843"/>
      <c r="B2843"/>
      <c r="P2843"/>
      <c r="R2843"/>
      <c r="S2843"/>
      <c r="T2843"/>
    </row>
    <row r="2844" spans="1:20" ht="17.25" customHeight="1">
      <c r="A2844"/>
      <c r="B2844"/>
      <c r="P2844"/>
      <c r="R2844"/>
      <c r="S2844"/>
      <c r="T2844"/>
    </row>
    <row r="2845" spans="1:20" ht="17.25" customHeight="1">
      <c r="A2845"/>
      <c r="B2845"/>
      <c r="P2845"/>
      <c r="R2845"/>
      <c r="S2845"/>
      <c r="T2845"/>
    </row>
    <row r="2846" spans="1:20" ht="17.25" customHeight="1">
      <c r="A2846"/>
      <c r="B2846"/>
      <c r="P2846"/>
      <c r="R2846"/>
      <c r="S2846"/>
      <c r="T2846"/>
    </row>
    <row r="2847" spans="1:20" ht="17.25" customHeight="1">
      <c r="A2847"/>
      <c r="B2847"/>
      <c r="P2847"/>
      <c r="R2847"/>
      <c r="S2847"/>
      <c r="T2847"/>
    </row>
    <row r="2848" spans="1:20" ht="17.25" customHeight="1">
      <c r="A2848"/>
      <c r="B2848"/>
      <c r="P2848"/>
      <c r="R2848"/>
      <c r="S2848"/>
      <c r="T2848"/>
    </row>
    <row r="2849" spans="1:20" ht="17.25" customHeight="1">
      <c r="A2849"/>
      <c r="B2849"/>
      <c r="P2849"/>
      <c r="R2849"/>
      <c r="S2849"/>
      <c r="T2849"/>
    </row>
    <row r="2850" spans="1:20" ht="17.25" customHeight="1">
      <c r="A2850"/>
      <c r="B2850"/>
      <c r="P2850"/>
      <c r="R2850"/>
      <c r="S2850"/>
      <c r="T2850"/>
    </row>
    <row r="2851" spans="1:20" ht="17.25" customHeight="1">
      <c r="A2851"/>
      <c r="B2851"/>
      <c r="P2851"/>
      <c r="R2851"/>
      <c r="S2851"/>
      <c r="T2851"/>
    </row>
    <row r="2852" spans="1:20" ht="17.25" customHeight="1">
      <c r="A2852"/>
      <c r="B2852"/>
      <c r="P2852"/>
      <c r="R2852"/>
      <c r="S2852"/>
      <c r="T2852"/>
    </row>
    <row r="2853" spans="1:20" ht="17.25" customHeight="1">
      <c r="A2853"/>
      <c r="B2853"/>
      <c r="P2853"/>
      <c r="R2853"/>
      <c r="S2853"/>
      <c r="T2853"/>
    </row>
    <row r="2854" spans="1:20" ht="17.25" customHeight="1">
      <c r="A2854"/>
      <c r="B2854"/>
      <c r="P2854"/>
      <c r="R2854"/>
      <c r="S2854"/>
      <c r="T2854"/>
    </row>
    <row r="2855" spans="1:20" ht="17.25" customHeight="1">
      <c r="A2855"/>
      <c r="B2855"/>
      <c r="P2855"/>
      <c r="R2855"/>
      <c r="S2855"/>
      <c r="T2855"/>
    </row>
    <row r="2856" spans="1:20" ht="17.25" customHeight="1">
      <c r="A2856"/>
      <c r="B2856"/>
      <c r="P2856"/>
      <c r="R2856"/>
      <c r="S2856"/>
      <c r="T2856"/>
    </row>
    <row r="2857" spans="1:20" ht="17.25" customHeight="1">
      <c r="A2857"/>
      <c r="B2857"/>
      <c r="P2857"/>
      <c r="R2857"/>
      <c r="S2857"/>
      <c r="T2857"/>
    </row>
    <row r="2858" spans="1:20" ht="17.25" customHeight="1">
      <c r="A2858"/>
      <c r="B2858"/>
      <c r="P2858"/>
      <c r="R2858"/>
      <c r="S2858"/>
      <c r="T2858"/>
    </row>
    <row r="2859" spans="1:20" ht="17.25" customHeight="1">
      <c r="A2859"/>
      <c r="B2859"/>
      <c r="P2859"/>
      <c r="R2859"/>
      <c r="S2859"/>
      <c r="T2859"/>
    </row>
    <row r="2860" spans="1:20" ht="17.25" customHeight="1">
      <c r="A2860"/>
      <c r="B2860"/>
      <c r="P2860"/>
      <c r="R2860"/>
      <c r="S2860"/>
      <c r="T2860"/>
    </row>
    <row r="2861" spans="1:20" ht="17.25" customHeight="1">
      <c r="A2861"/>
      <c r="B2861"/>
      <c r="P2861"/>
      <c r="R2861"/>
      <c r="S2861"/>
      <c r="T2861"/>
    </row>
    <row r="2862" spans="1:20" ht="17.25" customHeight="1">
      <c r="A2862"/>
      <c r="B2862"/>
      <c r="P2862"/>
      <c r="R2862"/>
      <c r="S2862"/>
      <c r="T2862"/>
    </row>
    <row r="2863" spans="1:20" ht="17.25" customHeight="1">
      <c r="A2863"/>
      <c r="B2863"/>
      <c r="P2863"/>
      <c r="R2863"/>
      <c r="S2863"/>
      <c r="T2863"/>
    </row>
    <row r="2864" spans="1:20" ht="17.25" customHeight="1">
      <c r="A2864"/>
      <c r="B2864"/>
      <c r="P2864"/>
      <c r="R2864"/>
      <c r="S2864"/>
      <c r="T2864"/>
    </row>
    <row r="2865" spans="1:20" ht="17.25" customHeight="1">
      <c r="A2865"/>
      <c r="B2865"/>
      <c r="P2865"/>
      <c r="R2865"/>
      <c r="S2865"/>
      <c r="T2865"/>
    </row>
    <row r="2866" spans="1:20" ht="17.25" customHeight="1">
      <c r="A2866"/>
      <c r="B2866"/>
      <c r="P2866"/>
      <c r="R2866"/>
      <c r="S2866"/>
      <c r="T2866"/>
    </row>
    <row r="2867" spans="1:20" ht="17.25" customHeight="1">
      <c r="A2867"/>
      <c r="B2867"/>
      <c r="P2867"/>
      <c r="R2867"/>
      <c r="S2867"/>
      <c r="T2867"/>
    </row>
    <row r="2868" spans="1:20" ht="17.25" customHeight="1">
      <c r="A2868"/>
      <c r="B2868"/>
      <c r="P2868"/>
      <c r="R2868"/>
      <c r="S2868"/>
      <c r="T2868"/>
    </row>
    <row r="2869" spans="1:20" ht="17.25" customHeight="1">
      <c r="A2869"/>
      <c r="B2869"/>
      <c r="P2869"/>
      <c r="R2869"/>
      <c r="S2869"/>
      <c r="T2869"/>
    </row>
    <row r="2870" spans="1:20" ht="17.25" customHeight="1">
      <c r="A2870"/>
      <c r="B2870"/>
      <c r="P2870"/>
      <c r="R2870"/>
      <c r="S2870"/>
      <c r="T2870"/>
    </row>
    <row r="2871" spans="1:20" ht="17.25" customHeight="1">
      <c r="A2871"/>
      <c r="B2871"/>
      <c r="P2871"/>
      <c r="R2871"/>
      <c r="S2871"/>
      <c r="T2871"/>
    </row>
    <row r="2872" spans="1:20" ht="17.25" customHeight="1">
      <c r="A2872"/>
      <c r="B2872"/>
      <c r="P2872"/>
      <c r="R2872"/>
      <c r="S2872"/>
      <c r="T2872"/>
    </row>
    <row r="2873" spans="1:20" ht="17.25" customHeight="1">
      <c r="A2873"/>
      <c r="B2873"/>
      <c r="P2873"/>
      <c r="R2873"/>
      <c r="S2873"/>
      <c r="T2873"/>
    </row>
    <row r="2874" spans="1:20" ht="17.25" customHeight="1">
      <c r="A2874"/>
      <c r="B2874"/>
      <c r="P2874"/>
      <c r="R2874"/>
      <c r="S2874"/>
      <c r="T2874"/>
    </row>
    <row r="2875" spans="1:20" ht="17.25" customHeight="1">
      <c r="A2875"/>
      <c r="B2875"/>
      <c r="P2875"/>
      <c r="R2875"/>
      <c r="S2875"/>
      <c r="T2875"/>
    </row>
    <row r="2876" spans="1:20" ht="17.25" customHeight="1">
      <c r="A2876"/>
      <c r="B2876"/>
      <c r="P2876"/>
      <c r="R2876"/>
      <c r="S2876"/>
      <c r="T2876"/>
    </row>
    <row r="2877" spans="1:20" ht="17.25" customHeight="1">
      <c r="A2877"/>
      <c r="B2877"/>
      <c r="P2877"/>
      <c r="R2877"/>
      <c r="S2877"/>
      <c r="T2877"/>
    </row>
    <row r="2878" spans="1:20" ht="17.25" customHeight="1">
      <c r="A2878"/>
      <c r="B2878"/>
      <c r="P2878"/>
      <c r="R2878"/>
      <c r="S2878"/>
      <c r="T2878"/>
    </row>
    <row r="2879" spans="1:20" ht="17.25" customHeight="1">
      <c r="A2879"/>
      <c r="B2879"/>
      <c r="P2879"/>
      <c r="R2879"/>
      <c r="S2879"/>
      <c r="T2879"/>
    </row>
    <row r="2880" spans="1:20" ht="17.25" customHeight="1">
      <c r="A2880"/>
      <c r="B2880"/>
      <c r="P2880"/>
      <c r="R2880"/>
      <c r="S2880"/>
      <c r="T2880"/>
    </row>
    <row r="2881" spans="1:20" ht="17.25" customHeight="1">
      <c r="A2881"/>
      <c r="B2881"/>
      <c r="P2881"/>
      <c r="R2881"/>
      <c r="S2881"/>
      <c r="T2881"/>
    </row>
    <row r="2882" spans="1:20" ht="17.25" customHeight="1">
      <c r="A2882"/>
      <c r="B2882"/>
      <c r="P2882"/>
      <c r="R2882"/>
      <c r="S2882"/>
      <c r="T2882"/>
    </row>
    <row r="2883" spans="1:20" ht="17.25" customHeight="1">
      <c r="A2883"/>
      <c r="B2883"/>
      <c r="P2883"/>
      <c r="R2883"/>
      <c r="S2883"/>
      <c r="T2883"/>
    </row>
    <row r="2884" spans="1:20" ht="17.25" customHeight="1">
      <c r="A2884"/>
      <c r="B2884"/>
      <c r="P2884"/>
      <c r="R2884"/>
      <c r="S2884"/>
      <c r="T2884"/>
    </row>
    <row r="2885" spans="1:20" ht="17.25" customHeight="1">
      <c r="A2885"/>
      <c r="B2885"/>
      <c r="P2885"/>
      <c r="R2885"/>
      <c r="S2885"/>
      <c r="T2885"/>
    </row>
    <row r="2886" spans="1:20" ht="17.25" customHeight="1">
      <c r="A2886"/>
      <c r="B2886"/>
      <c r="P2886"/>
      <c r="R2886"/>
      <c r="S2886"/>
      <c r="T2886"/>
    </row>
    <row r="2887" spans="1:20" ht="17.25" customHeight="1">
      <c r="A2887"/>
      <c r="B2887"/>
      <c r="P2887"/>
      <c r="R2887"/>
      <c r="S2887"/>
      <c r="T2887"/>
    </row>
    <row r="2888" spans="1:20" ht="17.25" customHeight="1">
      <c r="A2888"/>
      <c r="B2888"/>
      <c r="P2888"/>
      <c r="R2888"/>
      <c r="S2888"/>
      <c r="T2888"/>
    </row>
    <row r="2889" spans="1:20" ht="17.25" customHeight="1">
      <c r="A2889"/>
      <c r="B2889"/>
      <c r="P2889"/>
      <c r="R2889"/>
      <c r="S2889"/>
      <c r="T2889"/>
    </row>
    <row r="2890" spans="1:20" ht="17.25" customHeight="1">
      <c r="A2890"/>
      <c r="B2890"/>
      <c r="P2890"/>
      <c r="R2890"/>
      <c r="S2890"/>
      <c r="T2890"/>
    </row>
    <row r="2891" spans="1:20" ht="17.25" customHeight="1">
      <c r="A2891"/>
      <c r="B2891"/>
      <c r="P2891"/>
      <c r="R2891"/>
      <c r="S2891"/>
      <c r="T2891"/>
    </row>
    <row r="2892" spans="1:20" ht="17.25" customHeight="1">
      <c r="A2892"/>
      <c r="B2892"/>
      <c r="P2892"/>
      <c r="R2892"/>
      <c r="S2892"/>
      <c r="T2892"/>
    </row>
    <row r="2893" spans="1:20" ht="17.25" customHeight="1">
      <c r="A2893"/>
      <c r="B2893"/>
      <c r="P2893"/>
      <c r="R2893"/>
      <c r="S2893"/>
      <c r="T2893"/>
    </row>
    <row r="2894" spans="1:20" ht="17.25" customHeight="1">
      <c r="A2894"/>
      <c r="B2894"/>
      <c r="P2894"/>
      <c r="R2894"/>
      <c r="S2894"/>
      <c r="T2894"/>
    </row>
    <row r="2895" spans="1:20" ht="17.25" customHeight="1">
      <c r="A2895"/>
      <c r="B2895"/>
      <c r="P2895"/>
      <c r="R2895"/>
      <c r="S2895"/>
      <c r="T2895"/>
    </row>
    <row r="2896" spans="1:20" ht="17.25" customHeight="1">
      <c r="A2896"/>
      <c r="B2896"/>
      <c r="P2896"/>
      <c r="R2896"/>
      <c r="S2896"/>
      <c r="T2896"/>
    </row>
    <row r="2897" spans="1:20" ht="17.25" customHeight="1">
      <c r="A2897"/>
      <c r="B2897"/>
      <c r="P2897"/>
      <c r="R2897"/>
      <c r="S2897"/>
      <c r="T2897"/>
    </row>
    <row r="2898" spans="1:20" ht="17.25" customHeight="1">
      <c r="A2898"/>
      <c r="B2898"/>
      <c r="P2898"/>
      <c r="R2898"/>
      <c r="S2898"/>
      <c r="T2898"/>
    </row>
    <row r="2899" spans="1:20" ht="17.25" customHeight="1">
      <c r="A2899"/>
      <c r="B2899"/>
      <c r="P2899"/>
      <c r="R2899"/>
      <c r="S2899"/>
      <c r="T2899"/>
    </row>
    <row r="2900" spans="1:20" ht="17.25" customHeight="1">
      <c r="A2900"/>
      <c r="B2900"/>
      <c r="P2900"/>
      <c r="R2900"/>
      <c r="S2900"/>
      <c r="T2900"/>
    </row>
    <row r="2901" spans="1:20" ht="17.25" customHeight="1">
      <c r="A2901"/>
      <c r="B2901"/>
      <c r="P2901"/>
      <c r="R2901"/>
      <c r="S2901"/>
      <c r="T2901"/>
    </row>
    <row r="2902" spans="1:20" ht="17.25" customHeight="1">
      <c r="A2902"/>
      <c r="B2902"/>
      <c r="P2902"/>
      <c r="R2902"/>
      <c r="S2902"/>
      <c r="T2902"/>
    </row>
    <row r="2903" spans="1:20" ht="17.25" customHeight="1">
      <c r="A2903"/>
      <c r="B2903"/>
      <c r="P2903"/>
      <c r="R2903"/>
      <c r="S2903"/>
      <c r="T2903"/>
    </row>
    <row r="2904" spans="1:20" ht="17.25" customHeight="1">
      <c r="A2904"/>
      <c r="B2904"/>
      <c r="P2904"/>
      <c r="R2904"/>
      <c r="S2904"/>
      <c r="T2904"/>
    </row>
    <row r="2905" spans="1:20" ht="17.25" customHeight="1">
      <c r="A2905"/>
      <c r="B2905"/>
      <c r="P2905"/>
      <c r="R2905"/>
      <c r="S2905"/>
      <c r="T2905"/>
    </row>
    <row r="2906" spans="1:20" ht="17.25" customHeight="1">
      <c r="A2906"/>
      <c r="B2906"/>
      <c r="P2906"/>
      <c r="R2906"/>
      <c r="S2906"/>
      <c r="T2906"/>
    </row>
    <row r="2907" spans="1:20" ht="17.25" customHeight="1">
      <c r="A2907"/>
      <c r="B2907"/>
      <c r="P2907"/>
      <c r="R2907"/>
      <c r="S2907"/>
      <c r="T2907"/>
    </row>
    <row r="2908" spans="1:20" ht="17.25" customHeight="1">
      <c r="A2908"/>
      <c r="B2908"/>
      <c r="P2908"/>
      <c r="R2908"/>
      <c r="S2908"/>
      <c r="T2908"/>
    </row>
    <row r="2909" spans="1:20" ht="17.25" customHeight="1">
      <c r="A2909"/>
      <c r="B2909"/>
      <c r="P2909"/>
      <c r="R2909"/>
      <c r="S2909"/>
      <c r="T2909"/>
    </row>
    <row r="2910" spans="1:20" ht="17.25" customHeight="1">
      <c r="A2910"/>
      <c r="B2910"/>
      <c r="P2910"/>
      <c r="R2910"/>
      <c r="S2910"/>
      <c r="T2910"/>
    </row>
    <row r="2911" spans="1:20" ht="17.25" customHeight="1">
      <c r="A2911"/>
      <c r="B2911"/>
      <c r="P2911"/>
      <c r="R2911"/>
      <c r="S2911"/>
      <c r="T2911"/>
    </row>
    <row r="2912" spans="1:20" ht="17.25" customHeight="1">
      <c r="A2912"/>
      <c r="B2912"/>
      <c r="P2912"/>
      <c r="R2912"/>
      <c r="S2912"/>
      <c r="T2912"/>
    </row>
    <row r="2913" spans="1:20" ht="17.25" customHeight="1">
      <c r="A2913"/>
      <c r="B2913"/>
      <c r="P2913"/>
      <c r="R2913"/>
      <c r="S2913"/>
      <c r="T2913"/>
    </row>
    <row r="2914" spans="1:20" ht="17.25" customHeight="1">
      <c r="A2914"/>
      <c r="B2914"/>
      <c r="P2914"/>
      <c r="R2914"/>
      <c r="S2914"/>
      <c r="T2914"/>
    </row>
    <row r="2915" spans="1:20" ht="17.25" customHeight="1">
      <c r="A2915"/>
      <c r="B2915"/>
      <c r="P2915"/>
      <c r="R2915"/>
      <c r="S2915"/>
      <c r="T2915"/>
    </row>
    <row r="2916" spans="1:20" ht="17.25" customHeight="1">
      <c r="A2916"/>
      <c r="B2916"/>
      <c r="P2916"/>
      <c r="R2916"/>
      <c r="S2916"/>
      <c r="T2916"/>
    </row>
    <row r="2917" spans="1:20" ht="17.25" customHeight="1">
      <c r="A2917"/>
      <c r="B2917"/>
      <c r="P2917"/>
      <c r="R2917"/>
      <c r="S2917"/>
      <c r="T2917"/>
    </row>
    <row r="2918" spans="1:20" ht="17.25" customHeight="1">
      <c r="A2918"/>
      <c r="B2918"/>
      <c r="P2918"/>
      <c r="R2918"/>
      <c r="S2918"/>
      <c r="T2918"/>
    </row>
    <row r="2919" spans="1:20" ht="17.25" customHeight="1">
      <c r="A2919"/>
      <c r="B2919"/>
      <c r="P2919"/>
      <c r="R2919"/>
      <c r="S2919"/>
      <c r="T2919"/>
    </row>
    <row r="2920" spans="1:20" ht="17.25" customHeight="1">
      <c r="A2920"/>
      <c r="B2920"/>
      <c r="P2920"/>
      <c r="R2920"/>
      <c r="S2920"/>
      <c r="T2920"/>
    </row>
    <row r="2921" spans="1:20" ht="17.25" customHeight="1">
      <c r="A2921"/>
      <c r="B2921"/>
      <c r="P2921"/>
      <c r="R2921"/>
      <c r="S2921"/>
      <c r="T2921"/>
    </row>
    <row r="2922" spans="1:20" ht="17.25" customHeight="1">
      <c r="A2922"/>
      <c r="B2922"/>
      <c r="P2922"/>
      <c r="R2922"/>
      <c r="S2922"/>
      <c r="T2922"/>
    </row>
    <row r="2923" spans="1:20" ht="17.25" customHeight="1">
      <c r="A2923"/>
      <c r="B2923"/>
      <c r="P2923"/>
      <c r="R2923"/>
      <c r="S2923"/>
      <c r="T2923"/>
    </row>
    <row r="2924" spans="1:20" ht="17.25" customHeight="1">
      <c r="A2924"/>
      <c r="B2924"/>
      <c r="P2924"/>
      <c r="R2924"/>
      <c r="S2924"/>
      <c r="T2924"/>
    </row>
    <row r="2925" spans="1:20" ht="17.25" customHeight="1">
      <c r="A2925"/>
      <c r="B2925"/>
      <c r="P2925"/>
      <c r="R2925"/>
      <c r="S2925"/>
      <c r="T2925"/>
    </row>
    <row r="2926" spans="1:20" ht="17.25" customHeight="1">
      <c r="A2926"/>
      <c r="B2926"/>
      <c r="P2926"/>
      <c r="R2926"/>
      <c r="S2926"/>
      <c r="T2926"/>
    </row>
    <row r="2927" spans="1:20" ht="17.25" customHeight="1">
      <c r="A2927"/>
      <c r="B2927"/>
      <c r="P2927"/>
      <c r="R2927"/>
      <c r="S2927"/>
      <c r="T2927"/>
    </row>
    <row r="2928" spans="1:20" ht="17.25" customHeight="1">
      <c r="A2928"/>
      <c r="B2928"/>
      <c r="P2928"/>
      <c r="R2928"/>
      <c r="S2928"/>
      <c r="T2928"/>
    </row>
    <row r="2929" spans="1:20" ht="17.25" customHeight="1">
      <c r="A2929"/>
      <c r="B2929"/>
      <c r="P2929"/>
      <c r="R2929"/>
      <c r="S2929"/>
      <c r="T2929"/>
    </row>
    <row r="2930" spans="1:20" ht="17.25" customHeight="1">
      <c r="A2930"/>
      <c r="B2930"/>
      <c r="P2930"/>
      <c r="R2930"/>
      <c r="S2930"/>
      <c r="T2930"/>
    </row>
    <row r="2931" spans="1:20" ht="17.25" customHeight="1">
      <c r="A2931"/>
      <c r="B2931"/>
      <c r="P2931"/>
      <c r="R2931"/>
      <c r="S2931"/>
      <c r="T2931"/>
    </row>
    <row r="2932" spans="1:20" ht="17.25" customHeight="1">
      <c r="A2932"/>
      <c r="B2932"/>
      <c r="P2932"/>
      <c r="R2932"/>
      <c r="S2932"/>
      <c r="T2932"/>
    </row>
    <row r="2933" spans="1:20" ht="17.25" customHeight="1">
      <c r="A2933"/>
      <c r="B2933"/>
      <c r="P2933"/>
      <c r="R2933"/>
      <c r="S2933"/>
      <c r="T2933"/>
    </row>
    <row r="2934" spans="1:20" ht="17.25" customHeight="1">
      <c r="A2934"/>
      <c r="B2934"/>
      <c r="P2934"/>
      <c r="R2934"/>
      <c r="S2934"/>
      <c r="T2934"/>
    </row>
    <row r="2935" spans="1:20" ht="17.25" customHeight="1">
      <c r="A2935"/>
      <c r="B2935"/>
      <c r="P2935"/>
      <c r="R2935"/>
      <c r="S2935"/>
      <c r="T2935"/>
    </row>
    <row r="2936" spans="1:20" ht="17.25" customHeight="1">
      <c r="A2936"/>
      <c r="B2936"/>
      <c r="P2936"/>
      <c r="R2936"/>
      <c r="S2936"/>
      <c r="T2936"/>
    </row>
    <row r="2937" spans="1:20" ht="17.25" customHeight="1">
      <c r="A2937"/>
      <c r="B2937"/>
      <c r="P2937"/>
      <c r="R2937"/>
      <c r="S2937"/>
      <c r="T2937"/>
    </row>
    <row r="2938" spans="1:20" ht="17.25" customHeight="1">
      <c r="A2938"/>
      <c r="B2938"/>
      <c r="P2938"/>
      <c r="R2938"/>
      <c r="S2938"/>
      <c r="T2938"/>
    </row>
    <row r="2939" spans="1:20" ht="17.25" customHeight="1">
      <c r="A2939"/>
      <c r="B2939"/>
      <c r="P2939"/>
      <c r="R2939"/>
      <c r="S2939"/>
      <c r="T2939"/>
    </row>
    <row r="2940" spans="1:20" ht="17.25" customHeight="1">
      <c r="A2940"/>
      <c r="B2940"/>
      <c r="P2940"/>
      <c r="R2940"/>
      <c r="S2940"/>
      <c r="T2940"/>
    </row>
    <row r="2941" spans="1:20" ht="17.25" customHeight="1">
      <c r="A2941"/>
      <c r="B2941"/>
      <c r="P2941"/>
      <c r="R2941"/>
      <c r="S2941"/>
      <c r="T2941"/>
    </row>
    <row r="2942" spans="1:20" ht="17.25" customHeight="1">
      <c r="A2942"/>
      <c r="B2942"/>
      <c r="P2942"/>
      <c r="R2942"/>
      <c r="S2942"/>
      <c r="T2942"/>
    </row>
    <row r="2943" spans="1:20" ht="17.25" customHeight="1">
      <c r="A2943"/>
      <c r="B2943"/>
      <c r="P2943"/>
      <c r="R2943"/>
      <c r="S2943"/>
      <c r="T2943"/>
    </row>
    <row r="2944" spans="1:20" ht="17.25" customHeight="1">
      <c r="A2944"/>
      <c r="B2944"/>
      <c r="P2944"/>
      <c r="R2944"/>
      <c r="S2944"/>
      <c r="T2944"/>
    </row>
    <row r="2945" spans="1:20" ht="17.25" customHeight="1">
      <c r="A2945"/>
      <c r="B2945"/>
      <c r="P2945"/>
      <c r="R2945"/>
      <c r="S2945"/>
      <c r="T2945"/>
    </row>
    <row r="2946" spans="1:20" ht="17.25" customHeight="1">
      <c r="A2946"/>
      <c r="B2946"/>
      <c r="P2946"/>
      <c r="R2946"/>
      <c r="S2946"/>
      <c r="T2946"/>
    </row>
    <row r="2947" spans="1:20" ht="17.25" customHeight="1">
      <c r="A2947"/>
      <c r="B2947"/>
      <c r="P2947"/>
      <c r="R2947"/>
      <c r="S2947"/>
      <c r="T2947"/>
    </row>
    <row r="2948" spans="1:20" ht="17.25" customHeight="1">
      <c r="A2948"/>
      <c r="B2948"/>
      <c r="P2948"/>
      <c r="R2948"/>
      <c r="S2948"/>
      <c r="T2948"/>
    </row>
    <row r="2949" spans="1:20" ht="17.25" customHeight="1">
      <c r="A2949"/>
      <c r="B2949"/>
      <c r="P2949"/>
      <c r="R2949"/>
      <c r="S2949"/>
      <c r="T2949"/>
    </row>
    <row r="2950" spans="1:20" ht="17.25" customHeight="1">
      <c r="A2950"/>
      <c r="B2950"/>
      <c r="P2950"/>
      <c r="R2950"/>
      <c r="S2950"/>
      <c r="T2950"/>
    </row>
    <row r="2951" spans="1:20" ht="17.25" customHeight="1">
      <c r="A2951"/>
      <c r="B2951"/>
      <c r="P2951"/>
      <c r="R2951"/>
      <c r="S2951"/>
      <c r="T2951"/>
    </row>
    <row r="2952" spans="1:20" ht="17.25" customHeight="1">
      <c r="A2952"/>
      <c r="B2952"/>
      <c r="P2952"/>
      <c r="R2952"/>
      <c r="S2952"/>
      <c r="T2952"/>
    </row>
    <row r="2953" spans="1:20" ht="17.25" customHeight="1">
      <c r="A2953"/>
      <c r="B2953"/>
      <c r="P2953"/>
      <c r="R2953"/>
      <c r="S2953"/>
      <c r="T2953"/>
    </row>
    <row r="2954" spans="1:20" ht="17.25" customHeight="1">
      <c r="A2954"/>
      <c r="B2954"/>
      <c r="P2954"/>
      <c r="R2954"/>
      <c r="S2954"/>
      <c r="T2954"/>
    </row>
    <row r="2955" spans="1:20" ht="17.25" customHeight="1">
      <c r="A2955"/>
      <c r="B2955"/>
      <c r="P2955"/>
      <c r="R2955"/>
      <c r="S2955"/>
      <c r="T2955"/>
    </row>
    <row r="2956" spans="1:20" ht="17.25" customHeight="1">
      <c r="A2956"/>
      <c r="B2956"/>
      <c r="P2956"/>
      <c r="R2956"/>
      <c r="S2956"/>
      <c r="T2956"/>
    </row>
    <row r="2957" spans="1:20" ht="17.25" customHeight="1">
      <c r="A2957"/>
      <c r="B2957"/>
      <c r="P2957"/>
      <c r="R2957"/>
      <c r="S2957"/>
      <c r="T2957"/>
    </row>
    <row r="2958" spans="1:20" ht="17.25" customHeight="1">
      <c r="A2958"/>
      <c r="B2958"/>
      <c r="P2958"/>
      <c r="R2958"/>
      <c r="S2958"/>
      <c r="T2958"/>
    </row>
    <row r="2959" spans="1:20" ht="17.25" customHeight="1">
      <c r="A2959"/>
      <c r="B2959"/>
      <c r="P2959"/>
      <c r="R2959"/>
      <c r="S2959"/>
      <c r="T2959"/>
    </row>
    <row r="2960" spans="1:20" ht="17.25" customHeight="1">
      <c r="A2960"/>
      <c r="B2960"/>
      <c r="P2960"/>
      <c r="R2960"/>
      <c r="S2960"/>
      <c r="T2960"/>
    </row>
    <row r="2961" spans="1:20" ht="17.25" customHeight="1">
      <c r="A2961"/>
      <c r="B2961"/>
      <c r="P2961"/>
      <c r="R2961"/>
      <c r="S2961"/>
      <c r="T2961"/>
    </row>
    <row r="2962" spans="1:20" ht="17.25" customHeight="1">
      <c r="A2962"/>
      <c r="B2962"/>
      <c r="P2962"/>
      <c r="R2962"/>
      <c r="S2962"/>
      <c r="T2962"/>
    </row>
    <row r="2963" spans="1:20" ht="17.25" customHeight="1">
      <c r="A2963"/>
      <c r="B2963"/>
      <c r="P2963"/>
      <c r="R2963"/>
      <c r="S2963"/>
      <c r="T2963"/>
    </row>
    <row r="2964" spans="1:20" ht="17.25" customHeight="1">
      <c r="A2964"/>
      <c r="B2964"/>
      <c r="P2964"/>
      <c r="R2964"/>
      <c r="S2964"/>
      <c r="T2964"/>
    </row>
    <row r="2965" spans="1:20" ht="17.25" customHeight="1">
      <c r="A2965"/>
      <c r="B2965"/>
      <c r="P2965"/>
      <c r="R2965"/>
      <c r="S2965"/>
      <c r="T2965"/>
    </row>
    <row r="2966" spans="1:20" ht="17.25" customHeight="1">
      <c r="A2966"/>
      <c r="B2966"/>
      <c r="P2966"/>
      <c r="R2966"/>
      <c r="S2966"/>
      <c r="T2966"/>
    </row>
    <row r="2967" spans="1:20" ht="17.25" customHeight="1">
      <c r="A2967"/>
      <c r="B2967"/>
      <c r="P2967"/>
      <c r="R2967"/>
      <c r="S2967"/>
      <c r="T2967"/>
    </row>
    <row r="2968" spans="1:20" ht="17.25" customHeight="1">
      <c r="A2968"/>
      <c r="B2968"/>
      <c r="P2968"/>
      <c r="R2968"/>
      <c r="S2968"/>
      <c r="T2968"/>
    </row>
    <row r="2969" spans="1:20" ht="17.25" customHeight="1">
      <c r="A2969"/>
      <c r="B2969"/>
      <c r="P2969"/>
      <c r="R2969"/>
      <c r="S2969"/>
      <c r="T2969"/>
    </row>
    <row r="2970" spans="1:20" ht="17.25" customHeight="1">
      <c r="A2970"/>
      <c r="B2970"/>
      <c r="P2970"/>
      <c r="R2970"/>
      <c r="S2970"/>
      <c r="T2970"/>
    </row>
    <row r="2971" spans="1:20" ht="17.25" customHeight="1">
      <c r="A2971"/>
      <c r="B2971"/>
      <c r="P2971"/>
      <c r="R2971"/>
      <c r="S2971"/>
      <c r="T2971"/>
    </row>
    <row r="2972" spans="1:20" ht="17.25" customHeight="1">
      <c r="A2972"/>
      <c r="B2972"/>
      <c r="P2972"/>
      <c r="R2972"/>
      <c r="S2972"/>
      <c r="T2972"/>
    </row>
    <row r="2973" spans="1:20" ht="17.25" customHeight="1">
      <c r="A2973"/>
      <c r="B2973"/>
      <c r="P2973"/>
      <c r="R2973"/>
      <c r="S2973"/>
      <c r="T2973"/>
    </row>
    <row r="2974" spans="1:20" ht="17.25" customHeight="1">
      <c r="A2974"/>
      <c r="B2974"/>
      <c r="P2974"/>
      <c r="R2974"/>
      <c r="S2974"/>
      <c r="T2974"/>
    </row>
    <row r="2975" spans="1:20" ht="17.25" customHeight="1">
      <c r="A2975"/>
      <c r="B2975"/>
      <c r="P2975"/>
      <c r="R2975"/>
      <c r="S2975"/>
      <c r="T2975"/>
    </row>
    <row r="2976" spans="1:20" ht="17.25" customHeight="1">
      <c r="A2976"/>
      <c r="B2976"/>
      <c r="P2976"/>
      <c r="R2976"/>
      <c r="S2976"/>
      <c r="T2976"/>
    </row>
    <row r="2977" spans="1:20" ht="17.25" customHeight="1">
      <c r="A2977"/>
      <c r="B2977"/>
      <c r="P2977"/>
      <c r="R2977"/>
      <c r="S2977"/>
      <c r="T2977"/>
    </row>
    <row r="2978" spans="1:20" ht="17.25" customHeight="1">
      <c r="A2978"/>
      <c r="B2978"/>
      <c r="P2978"/>
      <c r="R2978"/>
      <c r="S2978"/>
      <c r="T2978"/>
    </row>
    <row r="2979" spans="1:20" ht="17.25" customHeight="1">
      <c r="A2979"/>
      <c r="B2979"/>
      <c r="P2979"/>
      <c r="R2979"/>
      <c r="S2979"/>
      <c r="T2979"/>
    </row>
    <row r="2980" spans="1:20" ht="17.25" customHeight="1">
      <c r="A2980"/>
      <c r="B2980"/>
      <c r="P2980"/>
      <c r="R2980"/>
      <c r="S2980"/>
      <c r="T2980"/>
    </row>
    <row r="2981" spans="1:20" ht="17.25" customHeight="1">
      <c r="A2981"/>
      <c r="B2981"/>
      <c r="P2981"/>
      <c r="R2981"/>
      <c r="S2981"/>
      <c r="T2981"/>
    </row>
    <row r="2982" spans="1:20" ht="17.25" customHeight="1">
      <c r="A2982"/>
      <c r="B2982"/>
      <c r="P2982"/>
      <c r="R2982"/>
      <c r="S2982"/>
      <c r="T2982"/>
    </row>
    <row r="2983" spans="1:20" ht="17.25" customHeight="1">
      <c r="A2983"/>
      <c r="B2983"/>
      <c r="P2983"/>
      <c r="R2983"/>
      <c r="S2983"/>
      <c r="T2983"/>
    </row>
    <row r="2984" spans="1:20" ht="17.25" customHeight="1">
      <c r="A2984"/>
      <c r="B2984"/>
      <c r="P2984"/>
      <c r="R2984"/>
      <c r="S2984"/>
      <c r="T2984"/>
    </row>
    <row r="2985" spans="1:20" ht="17.25" customHeight="1">
      <c r="A2985"/>
      <c r="B2985"/>
      <c r="P2985"/>
      <c r="R2985"/>
      <c r="S2985"/>
      <c r="T2985"/>
    </row>
    <row r="2986" spans="1:20" ht="17.25" customHeight="1">
      <c r="A2986"/>
      <c r="B2986"/>
      <c r="P2986"/>
      <c r="R2986"/>
      <c r="S2986"/>
      <c r="T2986"/>
    </row>
    <row r="2987" spans="1:20" ht="17.25" customHeight="1">
      <c r="A2987"/>
      <c r="B2987"/>
      <c r="P2987"/>
      <c r="R2987"/>
      <c r="S2987"/>
      <c r="T2987"/>
    </row>
    <row r="2988" spans="1:20" ht="17.25" customHeight="1">
      <c r="A2988"/>
      <c r="B2988"/>
      <c r="P2988"/>
      <c r="R2988"/>
      <c r="S2988"/>
      <c r="T2988"/>
    </row>
    <row r="2989" spans="1:20" ht="17.25" customHeight="1">
      <c r="A2989"/>
      <c r="B2989"/>
      <c r="P2989"/>
      <c r="R2989"/>
      <c r="S2989"/>
      <c r="T2989"/>
    </row>
    <row r="2990" spans="1:20" ht="17.25" customHeight="1">
      <c r="A2990"/>
      <c r="B2990"/>
      <c r="P2990"/>
      <c r="R2990"/>
      <c r="S2990"/>
      <c r="T2990"/>
    </row>
    <row r="2991" spans="1:20" ht="17.25" customHeight="1">
      <c r="A2991"/>
      <c r="B2991"/>
      <c r="P2991"/>
      <c r="R2991"/>
      <c r="S2991"/>
      <c r="T2991"/>
    </row>
    <row r="2992" spans="1:20" ht="17.25" customHeight="1">
      <c r="A2992"/>
      <c r="B2992"/>
      <c r="P2992"/>
      <c r="R2992"/>
      <c r="S2992"/>
      <c r="T2992"/>
    </row>
    <row r="2993" spans="1:20" ht="17.25" customHeight="1">
      <c r="A2993"/>
      <c r="B2993"/>
      <c r="P2993"/>
      <c r="R2993"/>
      <c r="S2993"/>
      <c r="T2993"/>
    </row>
    <row r="2994" spans="1:20" ht="17.25" customHeight="1">
      <c r="A2994"/>
      <c r="B2994"/>
      <c r="P2994"/>
      <c r="R2994"/>
      <c r="S2994"/>
      <c r="T2994"/>
    </row>
    <row r="2995" spans="1:20" ht="17.25" customHeight="1">
      <c r="A2995"/>
      <c r="B2995"/>
      <c r="P2995"/>
      <c r="R2995"/>
      <c r="S2995"/>
      <c r="T2995"/>
    </row>
    <row r="2996" spans="1:20" ht="17.25" customHeight="1">
      <c r="A2996"/>
      <c r="B2996"/>
      <c r="P2996"/>
      <c r="R2996"/>
      <c r="S2996"/>
      <c r="T2996"/>
    </row>
    <row r="2997" spans="1:20" ht="17.25" customHeight="1">
      <c r="A2997"/>
      <c r="B2997"/>
      <c r="P2997"/>
      <c r="R2997"/>
      <c r="S2997"/>
      <c r="T2997"/>
    </row>
    <row r="2998" spans="1:20" ht="17.25" customHeight="1">
      <c r="A2998"/>
      <c r="B2998"/>
      <c r="P2998"/>
      <c r="R2998"/>
      <c r="S2998"/>
      <c r="T2998"/>
    </row>
    <row r="2999" spans="1:20" ht="17.25" customHeight="1">
      <c r="A2999"/>
      <c r="B2999"/>
      <c r="P2999"/>
      <c r="R2999"/>
      <c r="S2999"/>
      <c r="T2999"/>
    </row>
    <row r="3000" spans="1:20" ht="17.25" customHeight="1">
      <c r="A3000"/>
      <c r="B3000"/>
      <c r="P3000"/>
      <c r="R3000"/>
      <c r="S3000"/>
      <c r="T3000"/>
    </row>
    <row r="3001" spans="1:20" ht="17.25" customHeight="1">
      <c r="A3001"/>
      <c r="B3001"/>
      <c r="P3001"/>
      <c r="R3001"/>
      <c r="S3001"/>
      <c r="T3001"/>
    </row>
    <row r="3002" spans="1:20" ht="17.25" customHeight="1">
      <c r="A3002"/>
      <c r="B3002"/>
      <c r="P3002"/>
      <c r="R3002"/>
      <c r="S3002"/>
      <c r="T3002"/>
    </row>
    <row r="3003" spans="1:20" ht="17.25" customHeight="1">
      <c r="A3003"/>
      <c r="B3003"/>
      <c r="P3003"/>
      <c r="R3003"/>
      <c r="S3003"/>
      <c r="T3003"/>
    </row>
    <row r="3004" spans="1:20" ht="17.25" customHeight="1">
      <c r="A3004"/>
      <c r="B3004"/>
      <c r="P3004"/>
      <c r="R3004"/>
      <c r="S3004"/>
      <c r="T3004"/>
    </row>
    <row r="3005" spans="1:20" ht="17.25" customHeight="1">
      <c r="A3005"/>
      <c r="B3005"/>
      <c r="P3005"/>
      <c r="R3005"/>
      <c r="S3005"/>
      <c r="T3005"/>
    </row>
    <row r="3006" spans="1:20" ht="17.25" customHeight="1">
      <c r="A3006"/>
      <c r="B3006"/>
      <c r="P3006"/>
      <c r="R3006"/>
      <c r="S3006"/>
      <c r="T3006"/>
    </row>
    <row r="3007" spans="1:20" ht="17.25" customHeight="1">
      <c r="A3007"/>
      <c r="B3007"/>
      <c r="P3007"/>
      <c r="R3007"/>
      <c r="S3007"/>
      <c r="T3007"/>
    </row>
    <row r="3008" spans="1:20" ht="17.25" customHeight="1">
      <c r="A3008"/>
      <c r="B3008"/>
      <c r="P3008"/>
      <c r="R3008"/>
      <c r="S3008"/>
      <c r="T3008"/>
    </row>
    <row r="3009" spans="1:20" ht="17.25" customHeight="1">
      <c r="A3009"/>
      <c r="B3009"/>
      <c r="P3009"/>
      <c r="R3009"/>
      <c r="S3009"/>
      <c r="T3009"/>
    </row>
    <row r="3010" spans="1:20" ht="17.25" customHeight="1">
      <c r="A3010"/>
      <c r="B3010"/>
      <c r="P3010"/>
      <c r="R3010"/>
      <c r="S3010"/>
      <c r="T3010"/>
    </row>
    <row r="3011" spans="1:20" ht="17.25" customHeight="1">
      <c r="A3011"/>
      <c r="B3011"/>
      <c r="P3011"/>
      <c r="R3011"/>
      <c r="S3011"/>
      <c r="T3011"/>
    </row>
    <row r="3012" spans="1:20" ht="17.25" customHeight="1">
      <c r="A3012"/>
      <c r="B3012"/>
      <c r="P3012"/>
      <c r="R3012"/>
      <c r="S3012"/>
      <c r="T3012"/>
    </row>
    <row r="3013" spans="1:20" ht="17.25" customHeight="1">
      <c r="A3013"/>
      <c r="B3013"/>
      <c r="P3013"/>
      <c r="R3013"/>
      <c r="S3013"/>
      <c r="T3013"/>
    </row>
    <row r="3014" spans="1:20" ht="17.25" customHeight="1">
      <c r="A3014"/>
      <c r="B3014"/>
      <c r="P3014"/>
      <c r="R3014"/>
      <c r="S3014"/>
      <c r="T3014"/>
    </row>
    <row r="3015" spans="1:20" ht="17.25" customHeight="1">
      <c r="A3015"/>
      <c r="B3015"/>
      <c r="P3015"/>
      <c r="R3015"/>
      <c r="S3015"/>
      <c r="T3015"/>
    </row>
    <row r="3016" spans="1:20" ht="17.25" customHeight="1">
      <c r="A3016"/>
      <c r="B3016"/>
      <c r="P3016"/>
      <c r="R3016"/>
      <c r="S3016"/>
      <c r="T3016"/>
    </row>
    <row r="3017" spans="1:20" ht="17.25" customHeight="1">
      <c r="A3017"/>
      <c r="B3017"/>
      <c r="P3017"/>
      <c r="R3017"/>
      <c r="S3017"/>
      <c r="T3017"/>
    </row>
    <row r="3018" spans="1:20" ht="17.25" customHeight="1">
      <c r="A3018"/>
      <c r="B3018"/>
      <c r="P3018"/>
      <c r="R3018"/>
      <c r="S3018"/>
      <c r="T3018"/>
    </row>
    <row r="3019" spans="1:20" ht="17.25" customHeight="1">
      <c r="A3019"/>
      <c r="B3019"/>
      <c r="P3019"/>
      <c r="R3019"/>
      <c r="S3019"/>
      <c r="T3019"/>
    </row>
    <row r="3020" spans="1:20" ht="17.25" customHeight="1">
      <c r="A3020"/>
      <c r="B3020"/>
      <c r="P3020"/>
      <c r="R3020"/>
      <c r="S3020"/>
      <c r="T3020"/>
    </row>
    <row r="3021" spans="1:20" ht="17.25" customHeight="1">
      <c r="A3021"/>
      <c r="B3021"/>
      <c r="P3021"/>
      <c r="R3021"/>
      <c r="S3021"/>
      <c r="T3021"/>
    </row>
    <row r="3022" spans="1:20" ht="17.25" customHeight="1">
      <c r="A3022"/>
      <c r="B3022"/>
      <c r="P3022"/>
      <c r="R3022"/>
      <c r="S3022"/>
      <c r="T3022"/>
    </row>
    <row r="3023" spans="1:20" ht="17.25" customHeight="1">
      <c r="A3023"/>
      <c r="B3023"/>
      <c r="P3023"/>
      <c r="R3023"/>
      <c r="S3023"/>
      <c r="T3023"/>
    </row>
    <row r="3024" spans="1:20" ht="17.25" customHeight="1">
      <c r="A3024"/>
      <c r="B3024"/>
      <c r="P3024"/>
      <c r="R3024"/>
      <c r="S3024"/>
      <c r="T3024"/>
    </row>
    <row r="3025" spans="1:20" ht="17.25" customHeight="1">
      <c r="A3025"/>
      <c r="B3025"/>
      <c r="P3025"/>
      <c r="R3025"/>
      <c r="S3025"/>
      <c r="T3025"/>
    </row>
    <row r="3026" spans="1:20" ht="17.25" customHeight="1">
      <c r="A3026"/>
      <c r="B3026"/>
      <c r="P3026"/>
      <c r="R3026"/>
      <c r="S3026"/>
      <c r="T3026"/>
    </row>
    <row r="3027" spans="1:20" ht="17.25" customHeight="1">
      <c r="A3027"/>
      <c r="B3027"/>
      <c r="P3027"/>
      <c r="R3027"/>
      <c r="S3027"/>
      <c r="T3027"/>
    </row>
    <row r="3028" spans="1:20" ht="17.25" customHeight="1">
      <c r="A3028"/>
      <c r="B3028"/>
      <c r="P3028"/>
      <c r="R3028"/>
      <c r="S3028"/>
      <c r="T3028"/>
    </row>
    <row r="3029" spans="1:20" ht="17.25" customHeight="1">
      <c r="A3029"/>
      <c r="B3029"/>
      <c r="P3029"/>
      <c r="R3029"/>
      <c r="S3029"/>
      <c r="T3029"/>
    </row>
    <row r="3030" spans="1:20" ht="17.25" customHeight="1">
      <c r="A3030"/>
      <c r="B3030"/>
      <c r="P3030"/>
      <c r="R3030"/>
      <c r="S3030"/>
      <c r="T3030"/>
    </row>
    <row r="3031" spans="1:20" ht="17.25" customHeight="1">
      <c r="A3031"/>
      <c r="B3031"/>
      <c r="P3031"/>
      <c r="R3031"/>
      <c r="S3031"/>
      <c r="T3031"/>
    </row>
    <row r="3032" spans="1:20" ht="17.25" customHeight="1">
      <c r="A3032"/>
      <c r="B3032"/>
      <c r="P3032"/>
      <c r="R3032"/>
      <c r="S3032"/>
      <c r="T3032"/>
    </row>
    <row r="3033" spans="1:20" ht="17.25" customHeight="1">
      <c r="A3033"/>
      <c r="B3033"/>
      <c r="P3033"/>
      <c r="R3033"/>
      <c r="S3033"/>
      <c r="T3033"/>
    </row>
    <row r="3034" spans="1:20" ht="17.25" customHeight="1">
      <c r="A3034"/>
      <c r="B3034"/>
      <c r="P3034"/>
      <c r="R3034"/>
      <c r="S3034"/>
      <c r="T3034"/>
    </row>
    <row r="3035" spans="1:20" ht="17.25" customHeight="1">
      <c r="A3035"/>
      <c r="B3035"/>
      <c r="P3035"/>
      <c r="R3035"/>
      <c r="S3035"/>
      <c r="T3035"/>
    </row>
    <row r="3036" spans="1:20" ht="17.25" customHeight="1">
      <c r="A3036"/>
      <c r="B3036"/>
      <c r="P3036"/>
      <c r="R3036"/>
      <c r="S3036"/>
      <c r="T3036"/>
    </row>
    <row r="3037" spans="1:20" ht="17.25" customHeight="1">
      <c r="A3037"/>
      <c r="B3037"/>
      <c r="P3037"/>
      <c r="R3037"/>
      <c r="S3037"/>
      <c r="T3037"/>
    </row>
    <row r="3038" spans="1:20" ht="17.25" customHeight="1">
      <c r="A3038"/>
      <c r="B3038"/>
      <c r="P3038"/>
      <c r="R3038"/>
      <c r="S3038"/>
      <c r="T3038"/>
    </row>
    <row r="3039" spans="1:20" ht="17.25" customHeight="1">
      <c r="A3039"/>
      <c r="B3039"/>
      <c r="P3039"/>
      <c r="R3039"/>
      <c r="S3039"/>
      <c r="T3039"/>
    </row>
    <row r="3040" spans="1:20" ht="17.25" customHeight="1">
      <c r="A3040"/>
      <c r="B3040"/>
      <c r="P3040"/>
      <c r="R3040"/>
      <c r="S3040"/>
      <c r="T3040"/>
    </row>
    <row r="3041" spans="1:20" ht="17.25" customHeight="1">
      <c r="A3041"/>
      <c r="B3041"/>
      <c r="P3041"/>
      <c r="R3041"/>
      <c r="S3041"/>
      <c r="T3041"/>
    </row>
    <row r="3042" spans="1:20" ht="17.25" customHeight="1">
      <c r="A3042"/>
      <c r="B3042"/>
      <c r="P3042"/>
      <c r="R3042"/>
      <c r="S3042"/>
      <c r="T3042"/>
    </row>
    <row r="3043" spans="1:20" ht="17.25" customHeight="1">
      <c r="A3043"/>
      <c r="B3043"/>
      <c r="P3043"/>
      <c r="R3043"/>
      <c r="S3043"/>
      <c r="T3043"/>
    </row>
    <row r="3044" spans="1:20" ht="17.25" customHeight="1">
      <c r="A3044"/>
      <c r="B3044"/>
      <c r="P3044"/>
      <c r="R3044"/>
      <c r="S3044"/>
      <c r="T3044"/>
    </row>
    <row r="3045" spans="1:20" ht="17.25" customHeight="1">
      <c r="A3045"/>
      <c r="B3045"/>
      <c r="P3045"/>
      <c r="R3045"/>
      <c r="S3045"/>
      <c r="T3045"/>
    </row>
    <row r="3046" spans="1:20" ht="17.25" customHeight="1">
      <c r="A3046"/>
      <c r="B3046"/>
      <c r="P3046"/>
      <c r="R3046"/>
      <c r="S3046"/>
      <c r="T3046"/>
    </row>
    <row r="3047" spans="1:20" ht="17.25" customHeight="1">
      <c r="A3047"/>
      <c r="B3047"/>
      <c r="P3047"/>
      <c r="R3047"/>
      <c r="S3047"/>
      <c r="T3047"/>
    </row>
    <row r="3048" spans="1:20" ht="17.25" customHeight="1">
      <c r="A3048"/>
      <c r="B3048"/>
      <c r="P3048"/>
      <c r="R3048"/>
      <c r="S3048"/>
      <c r="T3048"/>
    </row>
    <row r="3049" spans="1:20" ht="17.25" customHeight="1">
      <c r="A3049"/>
      <c r="B3049"/>
      <c r="P3049"/>
      <c r="R3049"/>
      <c r="S3049"/>
      <c r="T3049"/>
    </row>
    <row r="3050" spans="1:20" ht="17.25" customHeight="1">
      <c r="A3050"/>
      <c r="B3050"/>
      <c r="P3050"/>
      <c r="R3050"/>
      <c r="S3050"/>
      <c r="T3050"/>
    </row>
    <row r="3051" spans="1:20" ht="17.25" customHeight="1">
      <c r="A3051"/>
      <c r="B3051"/>
      <c r="P3051"/>
      <c r="R3051"/>
      <c r="S3051"/>
      <c r="T3051"/>
    </row>
    <row r="3052" spans="1:20" ht="17.25" customHeight="1">
      <c r="A3052"/>
      <c r="B3052"/>
      <c r="P3052"/>
      <c r="R3052"/>
      <c r="S3052"/>
      <c r="T3052"/>
    </row>
    <row r="3053" spans="1:20" ht="17.25" customHeight="1">
      <c r="A3053"/>
      <c r="B3053"/>
      <c r="P3053"/>
      <c r="R3053"/>
      <c r="S3053"/>
      <c r="T3053"/>
    </row>
    <row r="3054" spans="1:20" ht="17.25" customHeight="1">
      <c r="A3054"/>
      <c r="B3054"/>
      <c r="P3054"/>
      <c r="R3054"/>
      <c r="S3054"/>
      <c r="T3054"/>
    </row>
    <row r="3055" spans="1:20" ht="17.25" customHeight="1">
      <c r="A3055"/>
      <c r="B3055"/>
      <c r="P3055"/>
      <c r="R3055"/>
      <c r="S3055"/>
      <c r="T3055"/>
    </row>
    <row r="3056" spans="1:20" ht="17.25" customHeight="1">
      <c r="A3056"/>
      <c r="B3056"/>
      <c r="P3056"/>
      <c r="R3056"/>
      <c r="S3056"/>
      <c r="T3056"/>
    </row>
    <row r="3057" spans="1:20" ht="17.25" customHeight="1">
      <c r="A3057"/>
      <c r="B3057"/>
      <c r="P3057"/>
      <c r="R3057"/>
      <c r="S3057"/>
      <c r="T3057"/>
    </row>
    <row r="3058" spans="1:20" ht="17.25" customHeight="1">
      <c r="A3058"/>
      <c r="B3058"/>
      <c r="P3058"/>
      <c r="R3058"/>
      <c r="S3058"/>
      <c r="T3058"/>
    </row>
    <row r="3059" spans="1:20" ht="17.25" customHeight="1">
      <c r="A3059"/>
      <c r="B3059"/>
      <c r="P3059"/>
      <c r="R3059"/>
      <c r="S3059"/>
      <c r="T3059"/>
    </row>
    <row r="3060" spans="1:20" ht="17.25" customHeight="1">
      <c r="A3060"/>
      <c r="B3060"/>
      <c r="P3060"/>
      <c r="R3060"/>
      <c r="S3060"/>
      <c r="T3060"/>
    </row>
    <row r="3061" spans="1:20" ht="17.25" customHeight="1">
      <c r="A3061"/>
      <c r="B3061"/>
      <c r="P3061"/>
      <c r="R3061"/>
      <c r="S3061"/>
      <c r="T3061"/>
    </row>
    <row r="3062" spans="1:20" ht="17.25" customHeight="1">
      <c r="A3062"/>
      <c r="B3062"/>
      <c r="P3062"/>
      <c r="R3062"/>
      <c r="S3062"/>
      <c r="T3062"/>
    </row>
    <row r="3063" spans="1:20" ht="17.25" customHeight="1">
      <c r="A3063"/>
      <c r="B3063"/>
      <c r="P3063"/>
      <c r="R3063"/>
      <c r="S3063"/>
      <c r="T3063"/>
    </row>
    <row r="3064" spans="1:20" ht="17.25" customHeight="1">
      <c r="A3064"/>
      <c r="B3064"/>
      <c r="P3064"/>
      <c r="R3064"/>
      <c r="S3064"/>
      <c r="T3064"/>
    </row>
    <row r="3065" spans="1:20" ht="17.25" customHeight="1">
      <c r="A3065"/>
      <c r="B3065"/>
      <c r="P3065"/>
      <c r="R3065"/>
      <c r="S3065"/>
      <c r="T3065"/>
    </row>
    <row r="3066" spans="1:20" ht="17.25" customHeight="1">
      <c r="A3066"/>
      <c r="B3066"/>
      <c r="P3066"/>
      <c r="R3066"/>
      <c r="S3066"/>
      <c r="T3066"/>
    </row>
    <row r="3067" spans="1:20" ht="17.25" customHeight="1">
      <c r="A3067"/>
      <c r="B3067"/>
      <c r="P3067"/>
      <c r="R3067"/>
      <c r="S3067"/>
      <c r="T3067"/>
    </row>
    <row r="3068" spans="1:20" ht="17.25" customHeight="1">
      <c r="A3068"/>
      <c r="B3068"/>
      <c r="P3068"/>
      <c r="R3068"/>
      <c r="S3068"/>
      <c r="T3068"/>
    </row>
    <row r="3069" spans="1:20" ht="17.25" customHeight="1">
      <c r="A3069"/>
      <c r="B3069"/>
      <c r="P3069"/>
      <c r="R3069"/>
      <c r="S3069"/>
      <c r="T3069"/>
    </row>
    <row r="3070" spans="1:20" ht="17.25" customHeight="1">
      <c r="A3070"/>
      <c r="B3070"/>
      <c r="P3070"/>
      <c r="R3070"/>
      <c r="S3070"/>
      <c r="T3070"/>
    </row>
    <row r="3071" spans="1:20" ht="17.25" customHeight="1">
      <c r="A3071"/>
      <c r="B3071"/>
      <c r="P3071"/>
      <c r="R3071"/>
      <c r="S3071"/>
      <c r="T3071"/>
    </row>
    <row r="3072" spans="1:20" ht="17.25" customHeight="1">
      <c r="A3072"/>
      <c r="B3072"/>
      <c r="P3072"/>
      <c r="R3072"/>
      <c r="S3072"/>
      <c r="T3072"/>
    </row>
    <row r="3073" spans="1:20" ht="17.25" customHeight="1">
      <c r="A3073"/>
      <c r="B3073"/>
      <c r="P3073"/>
      <c r="R3073"/>
      <c r="S3073"/>
      <c r="T3073"/>
    </row>
    <row r="3074" spans="1:20" ht="17.25" customHeight="1">
      <c r="A3074"/>
      <c r="B3074"/>
      <c r="P3074"/>
      <c r="R3074"/>
      <c r="S3074"/>
      <c r="T3074"/>
    </row>
    <row r="3075" spans="1:20" ht="17.25" customHeight="1">
      <c r="A3075"/>
      <c r="B3075"/>
      <c r="P3075"/>
      <c r="R3075"/>
      <c r="S3075"/>
      <c r="T3075"/>
    </row>
    <row r="3076" spans="1:20" ht="17.25" customHeight="1">
      <c r="A3076"/>
      <c r="B3076"/>
      <c r="P3076"/>
      <c r="R3076"/>
      <c r="S3076"/>
      <c r="T3076"/>
    </row>
    <row r="3077" spans="1:20" ht="17.25" customHeight="1">
      <c r="A3077"/>
      <c r="B3077"/>
      <c r="P3077"/>
      <c r="R3077"/>
      <c r="S3077"/>
      <c r="T3077"/>
    </row>
    <row r="3078" spans="1:20" ht="17.25" customHeight="1">
      <c r="A3078"/>
      <c r="B3078"/>
      <c r="P3078"/>
      <c r="R3078"/>
      <c r="S3078"/>
      <c r="T3078"/>
    </row>
    <row r="3079" spans="1:20" ht="17.25" customHeight="1">
      <c r="A3079"/>
      <c r="B3079"/>
      <c r="P3079"/>
      <c r="R3079"/>
      <c r="S3079"/>
      <c r="T3079"/>
    </row>
    <row r="3080" spans="1:20" ht="17.25" customHeight="1">
      <c r="A3080"/>
      <c r="B3080"/>
      <c r="P3080"/>
      <c r="R3080"/>
      <c r="S3080"/>
      <c r="T3080"/>
    </row>
    <row r="3081" spans="1:20" ht="17.25" customHeight="1">
      <c r="A3081"/>
      <c r="B3081"/>
      <c r="P3081"/>
      <c r="R3081"/>
      <c r="S3081"/>
      <c r="T3081"/>
    </row>
    <row r="3082" spans="1:20" ht="17.25" customHeight="1">
      <c r="A3082"/>
      <c r="B3082"/>
      <c r="P3082"/>
      <c r="R3082"/>
      <c r="S3082"/>
      <c r="T3082"/>
    </row>
    <row r="3083" spans="1:20" ht="17.25" customHeight="1">
      <c r="A3083"/>
      <c r="B3083"/>
      <c r="P3083"/>
      <c r="R3083"/>
      <c r="S3083"/>
      <c r="T3083"/>
    </row>
    <row r="3084" spans="1:20" ht="17.25" customHeight="1">
      <c r="A3084"/>
      <c r="B3084"/>
      <c r="P3084"/>
      <c r="R3084"/>
      <c r="S3084"/>
      <c r="T3084"/>
    </row>
    <row r="3085" spans="1:20" ht="17.25" customHeight="1">
      <c r="A3085"/>
      <c r="B3085"/>
      <c r="P3085"/>
      <c r="R3085"/>
      <c r="S3085"/>
      <c r="T3085"/>
    </row>
    <row r="3086" spans="1:20" ht="17.25" customHeight="1">
      <c r="A3086"/>
      <c r="B3086"/>
      <c r="P3086"/>
      <c r="R3086"/>
      <c r="S3086"/>
      <c r="T3086"/>
    </row>
    <row r="3087" spans="1:20" ht="17.25" customHeight="1">
      <c r="A3087"/>
      <c r="B3087"/>
      <c r="P3087"/>
      <c r="R3087"/>
      <c r="S3087"/>
      <c r="T3087"/>
    </row>
    <row r="3088" spans="1:20" ht="17.25" customHeight="1">
      <c r="A3088"/>
      <c r="B3088"/>
      <c r="P3088"/>
      <c r="R3088"/>
      <c r="S3088"/>
      <c r="T3088"/>
    </row>
    <row r="3089" spans="1:20" ht="17.25" customHeight="1">
      <c r="A3089"/>
      <c r="B3089"/>
      <c r="P3089"/>
      <c r="R3089"/>
      <c r="S3089"/>
      <c r="T3089"/>
    </row>
    <row r="3090" spans="1:20" ht="17.25" customHeight="1">
      <c r="A3090"/>
      <c r="B3090"/>
      <c r="P3090"/>
      <c r="R3090"/>
      <c r="S3090"/>
      <c r="T3090"/>
    </row>
    <row r="3091" spans="1:20" ht="17.25" customHeight="1">
      <c r="A3091"/>
      <c r="B3091"/>
      <c r="P3091"/>
      <c r="R3091"/>
      <c r="S3091"/>
      <c r="T3091"/>
    </row>
    <row r="3092" spans="1:20" ht="17.25" customHeight="1">
      <c r="A3092"/>
      <c r="B3092"/>
      <c r="P3092"/>
      <c r="R3092"/>
      <c r="S3092"/>
      <c r="T3092"/>
    </row>
    <row r="3093" spans="1:20" ht="17.25" customHeight="1">
      <c r="A3093"/>
      <c r="B3093"/>
      <c r="P3093"/>
      <c r="R3093"/>
      <c r="S3093"/>
      <c r="T3093"/>
    </row>
    <row r="3094" spans="1:20" ht="17.25" customHeight="1">
      <c r="A3094"/>
      <c r="B3094"/>
      <c r="P3094"/>
      <c r="R3094"/>
      <c r="S3094"/>
      <c r="T3094"/>
    </row>
    <row r="3095" spans="1:20" ht="17.25" customHeight="1">
      <c r="A3095"/>
      <c r="B3095"/>
      <c r="P3095"/>
      <c r="R3095"/>
      <c r="S3095"/>
      <c r="T3095"/>
    </row>
    <row r="3096" spans="1:20" ht="17.25" customHeight="1">
      <c r="A3096"/>
      <c r="B3096"/>
      <c r="P3096"/>
      <c r="R3096"/>
      <c r="S3096"/>
      <c r="T3096"/>
    </row>
    <row r="3097" spans="1:20" ht="17.25" customHeight="1">
      <c r="A3097"/>
      <c r="B3097"/>
      <c r="P3097"/>
      <c r="R3097"/>
      <c r="S3097"/>
      <c r="T3097"/>
    </row>
    <row r="3098" spans="1:20" ht="17.25" customHeight="1">
      <c r="A3098"/>
      <c r="B3098"/>
      <c r="P3098"/>
      <c r="R3098"/>
      <c r="S3098"/>
      <c r="T3098"/>
    </row>
    <row r="3099" spans="1:20" ht="17.25" customHeight="1">
      <c r="A3099"/>
      <c r="B3099"/>
      <c r="P3099"/>
      <c r="R3099"/>
      <c r="S3099"/>
      <c r="T3099"/>
    </row>
    <row r="3100" spans="1:20" ht="17.25" customHeight="1">
      <c r="A3100"/>
      <c r="B3100"/>
      <c r="P3100"/>
      <c r="R3100"/>
      <c r="S3100"/>
      <c r="T3100"/>
    </row>
    <row r="3101" spans="1:20" ht="17.25" customHeight="1">
      <c r="A3101"/>
      <c r="B3101"/>
      <c r="P3101"/>
      <c r="R3101"/>
      <c r="S3101"/>
      <c r="T3101"/>
    </row>
    <row r="3102" spans="1:20" ht="17.25" customHeight="1">
      <c r="A3102"/>
      <c r="B3102"/>
      <c r="P3102"/>
      <c r="R3102"/>
      <c r="S3102"/>
      <c r="T3102"/>
    </row>
    <row r="3103" spans="1:20" ht="17.25" customHeight="1">
      <c r="A3103"/>
      <c r="B3103"/>
      <c r="P3103"/>
      <c r="R3103"/>
      <c r="S3103"/>
      <c r="T3103"/>
    </row>
    <row r="3104" spans="1:20" ht="17.25" customHeight="1">
      <c r="A3104"/>
      <c r="B3104"/>
      <c r="P3104"/>
      <c r="R3104"/>
      <c r="S3104"/>
      <c r="T3104"/>
    </row>
    <row r="3105" spans="1:20" ht="17.25" customHeight="1">
      <c r="A3105"/>
      <c r="B3105"/>
      <c r="P3105"/>
      <c r="R3105"/>
      <c r="S3105"/>
      <c r="T3105"/>
    </row>
    <row r="3106" spans="1:20" ht="17.25" customHeight="1">
      <c r="A3106"/>
      <c r="B3106"/>
      <c r="P3106"/>
      <c r="R3106"/>
      <c r="S3106"/>
      <c r="T3106"/>
    </row>
    <row r="3107" spans="1:20" ht="17.25" customHeight="1">
      <c r="A3107"/>
      <c r="B3107"/>
      <c r="P3107"/>
      <c r="R3107"/>
      <c r="S3107"/>
      <c r="T3107"/>
    </row>
    <row r="3108" spans="1:20" ht="17.25" customHeight="1">
      <c r="A3108"/>
      <c r="B3108"/>
      <c r="P3108"/>
      <c r="R3108"/>
      <c r="S3108"/>
      <c r="T3108"/>
    </row>
    <row r="3109" spans="1:20" ht="17.25" customHeight="1">
      <c r="A3109"/>
      <c r="B3109"/>
      <c r="P3109"/>
      <c r="R3109"/>
      <c r="S3109"/>
      <c r="T3109"/>
    </row>
    <row r="3110" spans="1:20" ht="17.25" customHeight="1">
      <c r="A3110"/>
      <c r="B3110"/>
      <c r="P3110"/>
      <c r="R3110"/>
      <c r="S3110"/>
      <c r="T3110"/>
    </row>
    <row r="3111" spans="1:20" ht="17.25" customHeight="1">
      <c r="A3111"/>
      <c r="B3111"/>
      <c r="P3111"/>
      <c r="R3111"/>
      <c r="S3111"/>
      <c r="T3111"/>
    </row>
    <row r="3112" spans="1:20" ht="17.25" customHeight="1">
      <c r="A3112"/>
      <c r="B3112"/>
      <c r="P3112"/>
      <c r="R3112"/>
      <c r="S3112"/>
      <c r="T3112"/>
    </row>
    <row r="3113" spans="1:20" ht="17.25" customHeight="1">
      <c r="A3113"/>
      <c r="B3113"/>
      <c r="P3113"/>
      <c r="R3113"/>
      <c r="S3113"/>
      <c r="T3113"/>
    </row>
    <row r="3114" spans="1:20" ht="17.25" customHeight="1">
      <c r="A3114"/>
      <c r="B3114"/>
      <c r="P3114"/>
      <c r="R3114"/>
      <c r="S3114"/>
      <c r="T3114"/>
    </row>
    <row r="3115" spans="1:20" ht="17.25" customHeight="1">
      <c r="A3115"/>
      <c r="B3115"/>
      <c r="P3115"/>
      <c r="R3115"/>
      <c r="S3115"/>
      <c r="T3115"/>
    </row>
    <row r="3116" spans="1:20" ht="17.25" customHeight="1">
      <c r="A3116"/>
      <c r="B3116"/>
      <c r="P3116"/>
      <c r="R3116"/>
      <c r="S3116"/>
      <c r="T3116"/>
    </row>
    <row r="3117" spans="1:20" ht="17.25" customHeight="1">
      <c r="A3117"/>
      <c r="B3117"/>
      <c r="P3117"/>
      <c r="R3117"/>
      <c r="S3117"/>
      <c r="T3117"/>
    </row>
    <row r="3118" spans="1:20" ht="17.25" customHeight="1">
      <c r="A3118"/>
      <c r="B3118"/>
      <c r="P3118"/>
      <c r="R3118"/>
      <c r="S3118"/>
      <c r="T3118"/>
    </row>
    <row r="3119" spans="1:20" ht="17.25" customHeight="1">
      <c r="A3119"/>
      <c r="B3119"/>
      <c r="P3119"/>
      <c r="R3119"/>
      <c r="S3119"/>
      <c r="T3119"/>
    </row>
    <row r="3120" spans="1:20" ht="17.25" customHeight="1">
      <c r="A3120"/>
      <c r="B3120"/>
      <c r="P3120"/>
      <c r="R3120"/>
      <c r="S3120"/>
      <c r="T3120"/>
    </row>
    <row r="3121" spans="1:20" ht="17.25" customHeight="1">
      <c r="A3121"/>
      <c r="B3121"/>
      <c r="P3121"/>
      <c r="R3121"/>
      <c r="S3121"/>
      <c r="T3121"/>
    </row>
    <row r="3122" spans="1:20" ht="17.25" customHeight="1">
      <c r="A3122"/>
      <c r="B3122"/>
      <c r="P3122"/>
      <c r="R3122"/>
      <c r="S3122"/>
      <c r="T3122"/>
    </row>
    <row r="3123" spans="1:20" ht="17.25" customHeight="1">
      <c r="A3123"/>
      <c r="B3123"/>
      <c r="P3123"/>
      <c r="R3123"/>
      <c r="S3123"/>
      <c r="T3123"/>
    </row>
    <row r="3124" spans="1:20" ht="17.25" customHeight="1">
      <c r="A3124"/>
      <c r="B3124"/>
      <c r="P3124"/>
      <c r="R3124"/>
      <c r="S3124"/>
      <c r="T3124"/>
    </row>
    <row r="3125" spans="1:20" ht="17.25" customHeight="1">
      <c r="A3125"/>
      <c r="B3125"/>
      <c r="P3125"/>
      <c r="R3125"/>
      <c r="S3125"/>
      <c r="T3125"/>
    </row>
    <row r="3126" spans="1:20" ht="17.25" customHeight="1">
      <c r="A3126"/>
      <c r="B3126"/>
      <c r="P3126"/>
      <c r="R3126"/>
      <c r="S3126"/>
      <c r="T3126"/>
    </row>
    <row r="3127" spans="1:20" ht="17.25" customHeight="1">
      <c r="A3127"/>
      <c r="B3127"/>
      <c r="P3127"/>
      <c r="R3127"/>
      <c r="S3127"/>
      <c r="T3127"/>
    </row>
    <row r="3128" spans="1:20" ht="17.25" customHeight="1">
      <c r="A3128"/>
      <c r="B3128"/>
      <c r="P3128"/>
      <c r="R3128"/>
      <c r="S3128"/>
      <c r="T3128"/>
    </row>
    <row r="3129" spans="1:20" ht="17.25" customHeight="1">
      <c r="A3129"/>
      <c r="B3129"/>
      <c r="P3129"/>
      <c r="R3129"/>
      <c r="S3129"/>
      <c r="T3129"/>
    </row>
    <row r="3130" spans="1:20" ht="17.25" customHeight="1">
      <c r="A3130"/>
      <c r="B3130"/>
      <c r="P3130"/>
      <c r="R3130"/>
      <c r="S3130"/>
      <c r="T3130"/>
    </row>
    <row r="3131" spans="1:20" ht="17.25" customHeight="1">
      <c r="A3131"/>
      <c r="B3131"/>
      <c r="P3131"/>
      <c r="R3131"/>
      <c r="S3131"/>
      <c r="T3131"/>
    </row>
    <row r="3132" spans="1:20" ht="17.25" customHeight="1">
      <c r="A3132"/>
      <c r="B3132"/>
      <c r="P3132"/>
      <c r="R3132"/>
      <c r="S3132"/>
      <c r="T3132"/>
    </row>
    <row r="3133" spans="1:20" ht="17.25" customHeight="1">
      <c r="A3133"/>
      <c r="B3133"/>
      <c r="P3133"/>
      <c r="R3133"/>
      <c r="S3133"/>
      <c r="T3133"/>
    </row>
    <row r="3134" spans="1:20" ht="17.25" customHeight="1">
      <c r="A3134"/>
      <c r="B3134"/>
      <c r="P3134"/>
      <c r="R3134"/>
      <c r="S3134"/>
      <c r="T3134"/>
    </row>
    <row r="3135" spans="1:20" ht="17.25" customHeight="1">
      <c r="A3135"/>
      <c r="B3135"/>
      <c r="P3135"/>
      <c r="R3135"/>
      <c r="S3135"/>
      <c r="T3135"/>
    </row>
    <row r="3136" spans="1:20" ht="17.25" customHeight="1">
      <c r="A3136"/>
      <c r="B3136"/>
      <c r="P3136"/>
      <c r="R3136"/>
      <c r="S3136"/>
      <c r="T3136"/>
    </row>
    <row r="3137" spans="1:20" ht="17.25" customHeight="1">
      <c r="A3137"/>
      <c r="B3137"/>
      <c r="P3137"/>
      <c r="R3137"/>
      <c r="S3137"/>
      <c r="T3137"/>
    </row>
    <row r="3138" spans="1:20" ht="17.25" customHeight="1">
      <c r="A3138"/>
      <c r="B3138"/>
      <c r="P3138"/>
      <c r="R3138"/>
      <c r="S3138"/>
      <c r="T3138"/>
    </row>
    <row r="3139" spans="1:20" ht="17.25" customHeight="1">
      <c r="A3139"/>
      <c r="B3139"/>
      <c r="P3139"/>
      <c r="R3139"/>
      <c r="S3139"/>
      <c r="T3139"/>
    </row>
    <row r="3140" spans="1:20" ht="17.25" customHeight="1">
      <c r="A3140"/>
      <c r="B3140"/>
      <c r="P3140"/>
      <c r="R3140"/>
      <c r="S3140"/>
      <c r="T3140"/>
    </row>
    <row r="3141" spans="1:20" ht="17.25" customHeight="1">
      <c r="A3141"/>
      <c r="B3141"/>
      <c r="P3141"/>
      <c r="R3141"/>
      <c r="S3141"/>
      <c r="T3141"/>
    </row>
    <row r="3142" spans="1:20" ht="17.25" customHeight="1">
      <c r="A3142"/>
      <c r="B3142"/>
      <c r="P3142"/>
      <c r="R3142"/>
      <c r="S3142"/>
      <c r="T3142"/>
    </row>
    <row r="3143" spans="1:20" ht="17.25" customHeight="1">
      <c r="A3143"/>
      <c r="B3143"/>
      <c r="P3143"/>
      <c r="R3143"/>
      <c r="S3143"/>
      <c r="T3143"/>
    </row>
    <row r="3144" spans="1:20" ht="17.25" customHeight="1">
      <c r="A3144"/>
      <c r="B3144"/>
      <c r="P3144"/>
      <c r="R3144"/>
      <c r="S3144"/>
      <c r="T3144"/>
    </row>
    <row r="3145" spans="1:20" ht="17.25" customHeight="1">
      <c r="A3145"/>
      <c r="B3145"/>
      <c r="P3145"/>
      <c r="R3145"/>
      <c r="S3145"/>
      <c r="T3145"/>
    </row>
    <row r="3146" spans="1:20" ht="17.25" customHeight="1">
      <c r="A3146"/>
      <c r="B3146"/>
      <c r="P3146"/>
      <c r="R3146"/>
      <c r="S3146"/>
      <c r="T3146"/>
    </row>
    <row r="3147" spans="1:20" ht="17.25" customHeight="1">
      <c r="A3147"/>
      <c r="B3147"/>
      <c r="P3147"/>
      <c r="R3147"/>
      <c r="S3147"/>
      <c r="T3147"/>
    </row>
    <row r="3148" spans="1:20" ht="17.25" customHeight="1">
      <c r="A3148"/>
      <c r="B3148"/>
      <c r="P3148"/>
      <c r="R3148"/>
      <c r="S3148"/>
      <c r="T3148"/>
    </row>
    <row r="3149" spans="1:20" ht="17.25" customHeight="1">
      <c r="A3149"/>
      <c r="B3149"/>
      <c r="P3149"/>
      <c r="R3149"/>
      <c r="S3149"/>
      <c r="T3149"/>
    </row>
    <row r="3150" spans="1:20" ht="17.25" customHeight="1">
      <c r="A3150"/>
      <c r="B3150"/>
      <c r="P3150"/>
      <c r="R3150"/>
      <c r="S3150"/>
      <c r="T3150"/>
    </row>
    <row r="3151" spans="1:20" ht="17.25" customHeight="1">
      <c r="A3151"/>
      <c r="B3151"/>
      <c r="P3151"/>
      <c r="R3151"/>
      <c r="S3151"/>
      <c r="T3151"/>
    </row>
    <row r="3152" spans="1:20" ht="17.25" customHeight="1">
      <c r="A3152"/>
      <c r="B3152"/>
      <c r="P3152"/>
      <c r="R3152"/>
      <c r="S3152"/>
      <c r="T3152"/>
    </row>
    <row r="3153" spans="1:20" ht="17.25" customHeight="1">
      <c r="A3153"/>
      <c r="B3153"/>
      <c r="P3153"/>
      <c r="R3153"/>
      <c r="S3153"/>
      <c r="T3153"/>
    </row>
    <row r="3154" spans="1:20" ht="17.25" customHeight="1">
      <c r="A3154"/>
      <c r="B3154"/>
      <c r="P3154"/>
      <c r="R3154"/>
      <c r="S3154"/>
      <c r="T3154"/>
    </row>
    <row r="3155" spans="1:20" ht="17.25" customHeight="1">
      <c r="A3155"/>
      <c r="B3155"/>
      <c r="P3155"/>
      <c r="R3155"/>
      <c r="S3155"/>
      <c r="T3155"/>
    </row>
    <row r="3156" spans="1:20" ht="17.25" customHeight="1">
      <c r="A3156"/>
      <c r="B3156"/>
      <c r="P3156"/>
      <c r="R3156"/>
      <c r="S3156"/>
      <c r="T3156"/>
    </row>
    <row r="3157" spans="1:20" ht="17.25" customHeight="1">
      <c r="A3157"/>
      <c r="B3157"/>
      <c r="P3157"/>
      <c r="R3157"/>
      <c r="S3157"/>
      <c r="T3157"/>
    </row>
    <row r="3158" spans="1:20" ht="17.25" customHeight="1">
      <c r="A3158"/>
      <c r="B3158"/>
      <c r="P3158"/>
      <c r="R3158"/>
      <c r="S3158"/>
      <c r="T3158"/>
    </row>
    <row r="3159" spans="1:20" ht="17.25" customHeight="1">
      <c r="A3159"/>
      <c r="B3159"/>
      <c r="P3159"/>
      <c r="R3159"/>
      <c r="S3159"/>
      <c r="T3159"/>
    </row>
    <row r="3160" spans="1:20" ht="17.25" customHeight="1">
      <c r="A3160"/>
      <c r="B3160"/>
      <c r="P3160"/>
      <c r="R3160"/>
      <c r="S3160"/>
      <c r="T3160"/>
    </row>
    <row r="3161" spans="1:20" ht="17.25" customHeight="1">
      <c r="A3161"/>
      <c r="B3161"/>
      <c r="P3161"/>
      <c r="R3161"/>
      <c r="S3161"/>
      <c r="T3161"/>
    </row>
    <row r="3162" spans="1:20" ht="17.25" customHeight="1">
      <c r="A3162"/>
      <c r="B3162"/>
      <c r="P3162"/>
      <c r="R3162"/>
      <c r="S3162"/>
      <c r="T3162"/>
    </row>
    <row r="3163" spans="1:20" ht="17.25" customHeight="1">
      <c r="A3163"/>
      <c r="B3163"/>
      <c r="P3163"/>
      <c r="R3163"/>
      <c r="S3163"/>
      <c r="T3163"/>
    </row>
    <row r="3164" spans="1:20" ht="17.25" customHeight="1">
      <c r="A3164"/>
      <c r="B3164"/>
      <c r="P3164"/>
      <c r="R3164"/>
      <c r="S3164"/>
      <c r="T3164"/>
    </row>
    <row r="3165" spans="1:20" ht="17.25" customHeight="1">
      <c r="A3165"/>
      <c r="B3165"/>
      <c r="P3165"/>
      <c r="R3165"/>
      <c r="S3165"/>
      <c r="T3165"/>
    </row>
    <row r="3166" spans="1:20" ht="17.25" customHeight="1">
      <c r="A3166"/>
      <c r="B3166"/>
      <c r="P3166"/>
      <c r="R3166"/>
      <c r="S3166"/>
      <c r="T3166"/>
    </row>
    <row r="3167" spans="1:20" ht="17.25" customHeight="1">
      <c r="A3167"/>
      <c r="B3167"/>
      <c r="P3167"/>
      <c r="R3167"/>
      <c r="S3167"/>
      <c r="T3167"/>
    </row>
    <row r="3168" spans="1:20" ht="17.25" customHeight="1">
      <c r="A3168"/>
      <c r="B3168"/>
      <c r="P3168"/>
      <c r="R3168"/>
      <c r="S3168"/>
      <c r="T3168"/>
    </row>
    <row r="3169" spans="1:20" ht="17.25" customHeight="1">
      <c r="A3169"/>
      <c r="B3169"/>
      <c r="P3169"/>
      <c r="R3169"/>
      <c r="S3169"/>
      <c r="T3169"/>
    </row>
    <row r="3170" spans="1:20" ht="17.25" customHeight="1">
      <c r="A3170"/>
      <c r="B3170"/>
      <c r="P3170"/>
      <c r="R3170"/>
      <c r="S3170"/>
      <c r="T3170"/>
    </row>
    <row r="3171" spans="1:20" ht="17.25" customHeight="1">
      <c r="A3171"/>
      <c r="B3171"/>
      <c r="P3171"/>
      <c r="R3171"/>
      <c r="S3171"/>
      <c r="T3171"/>
    </row>
    <row r="3172" spans="1:20" ht="17.25" customHeight="1">
      <c r="A3172"/>
      <c r="B3172"/>
      <c r="P3172"/>
      <c r="R3172"/>
      <c r="S3172"/>
      <c r="T3172"/>
    </row>
    <row r="3173" spans="1:20" ht="17.25" customHeight="1">
      <c r="A3173"/>
      <c r="B3173"/>
      <c r="P3173"/>
      <c r="R3173"/>
      <c r="S3173"/>
      <c r="T3173"/>
    </row>
    <row r="3174" spans="1:20" ht="17.25" customHeight="1">
      <c r="A3174"/>
      <c r="B3174"/>
      <c r="P3174"/>
      <c r="R3174"/>
      <c r="S3174"/>
      <c r="T3174"/>
    </row>
    <row r="3175" spans="1:20" ht="17.25" customHeight="1">
      <c r="A3175"/>
      <c r="B3175"/>
      <c r="P3175"/>
      <c r="R3175"/>
      <c r="S3175"/>
      <c r="T3175"/>
    </row>
    <row r="3176" spans="1:20" ht="17.25" customHeight="1">
      <c r="A3176"/>
      <c r="B3176"/>
      <c r="P3176"/>
      <c r="R3176"/>
      <c r="S3176"/>
      <c r="T3176"/>
    </row>
    <row r="3177" spans="1:20" ht="17.25" customHeight="1">
      <c r="A3177"/>
      <c r="B3177"/>
      <c r="P3177"/>
      <c r="R3177"/>
      <c r="S3177"/>
      <c r="T3177"/>
    </row>
    <row r="3178" spans="1:20" ht="17.25" customHeight="1">
      <c r="A3178"/>
      <c r="B3178"/>
      <c r="P3178"/>
      <c r="R3178"/>
      <c r="S3178"/>
      <c r="T3178"/>
    </row>
    <row r="3179" spans="1:20" ht="17.25" customHeight="1">
      <c r="A3179"/>
      <c r="B3179"/>
      <c r="P3179"/>
      <c r="R3179"/>
      <c r="S3179"/>
      <c r="T3179"/>
    </row>
    <row r="3180" spans="1:20" ht="17.25" customHeight="1">
      <c r="A3180"/>
      <c r="B3180"/>
      <c r="P3180"/>
      <c r="R3180"/>
      <c r="S3180"/>
      <c r="T3180"/>
    </row>
    <row r="3181" spans="1:20" ht="17.25" customHeight="1">
      <c r="A3181"/>
      <c r="B3181"/>
      <c r="P3181"/>
      <c r="R3181"/>
      <c r="S3181"/>
      <c r="T3181"/>
    </row>
    <row r="3182" spans="1:20" ht="17.25" customHeight="1">
      <c r="A3182"/>
      <c r="B3182"/>
      <c r="P3182"/>
      <c r="R3182"/>
      <c r="S3182"/>
      <c r="T3182"/>
    </row>
    <row r="3183" spans="1:20" ht="17.25" customHeight="1">
      <c r="A3183"/>
      <c r="B3183"/>
      <c r="P3183"/>
      <c r="R3183"/>
      <c r="S3183"/>
      <c r="T3183"/>
    </row>
    <row r="3184" spans="1:20" ht="17.25" customHeight="1">
      <c r="A3184"/>
      <c r="B3184"/>
      <c r="P3184"/>
      <c r="R3184"/>
      <c r="S3184"/>
      <c r="T3184"/>
    </row>
    <row r="3185" spans="1:20" ht="17.25" customHeight="1">
      <c r="A3185"/>
      <c r="B3185"/>
      <c r="P3185"/>
      <c r="R3185"/>
      <c r="S3185"/>
      <c r="T3185"/>
    </row>
    <row r="3186" spans="1:20" ht="17.25" customHeight="1">
      <c r="A3186"/>
      <c r="B3186"/>
      <c r="P3186"/>
      <c r="R3186"/>
      <c r="S3186"/>
      <c r="T3186"/>
    </row>
    <row r="3187" spans="1:20" ht="17.25" customHeight="1">
      <c r="A3187"/>
      <c r="B3187"/>
      <c r="P3187"/>
      <c r="R3187"/>
      <c r="S3187"/>
      <c r="T3187"/>
    </row>
    <row r="3188" spans="1:20" ht="17.25" customHeight="1">
      <c r="A3188"/>
      <c r="B3188"/>
      <c r="P3188"/>
      <c r="R3188"/>
      <c r="S3188"/>
      <c r="T3188"/>
    </row>
    <row r="3189" spans="1:20" ht="17.25" customHeight="1">
      <c r="A3189"/>
      <c r="B3189"/>
      <c r="P3189"/>
      <c r="R3189"/>
      <c r="S3189"/>
      <c r="T3189"/>
    </row>
    <row r="3190" spans="1:20" ht="17.25" customHeight="1">
      <c r="A3190"/>
      <c r="B3190"/>
      <c r="P3190"/>
      <c r="R3190"/>
      <c r="S3190"/>
      <c r="T3190"/>
    </row>
    <row r="3191" spans="1:20" ht="17.25" customHeight="1">
      <c r="A3191"/>
      <c r="B3191"/>
      <c r="P3191"/>
      <c r="R3191"/>
      <c r="S3191"/>
      <c r="T3191"/>
    </row>
    <row r="3192" spans="1:20" ht="17.25" customHeight="1">
      <c r="A3192"/>
      <c r="B3192"/>
      <c r="P3192"/>
      <c r="R3192"/>
      <c r="S3192"/>
      <c r="T3192"/>
    </row>
    <row r="3193" spans="1:20" ht="17.25" customHeight="1">
      <c r="A3193"/>
      <c r="B3193"/>
      <c r="P3193"/>
      <c r="R3193"/>
      <c r="S3193"/>
      <c r="T3193"/>
    </row>
    <row r="3194" spans="1:20" ht="17.25" customHeight="1">
      <c r="A3194"/>
      <c r="B3194"/>
      <c r="P3194"/>
      <c r="R3194"/>
      <c r="S3194"/>
      <c r="T3194"/>
    </row>
    <row r="3195" spans="1:20" ht="17.25" customHeight="1">
      <c r="A3195"/>
      <c r="B3195"/>
      <c r="P3195"/>
      <c r="R3195"/>
      <c r="S3195"/>
      <c r="T3195"/>
    </row>
    <row r="3196" spans="1:20" ht="17.25" customHeight="1">
      <c r="A3196"/>
      <c r="B3196"/>
      <c r="P3196"/>
      <c r="R3196"/>
      <c r="S3196"/>
      <c r="T3196"/>
    </row>
    <row r="3197" spans="1:20" ht="17.25" customHeight="1">
      <c r="A3197"/>
      <c r="B3197"/>
      <c r="P3197"/>
      <c r="R3197"/>
      <c r="S3197"/>
      <c r="T3197"/>
    </row>
    <row r="3198" spans="1:20" ht="17.25" customHeight="1">
      <c r="A3198"/>
      <c r="B3198"/>
      <c r="P3198"/>
      <c r="R3198"/>
      <c r="S3198"/>
      <c r="T3198"/>
    </row>
    <row r="3199" spans="1:20" ht="17.25" customHeight="1">
      <c r="A3199"/>
      <c r="B3199"/>
      <c r="P3199"/>
      <c r="R3199"/>
      <c r="S3199"/>
      <c r="T3199"/>
    </row>
    <row r="3200" spans="1:20" ht="17.25" customHeight="1">
      <c r="A3200"/>
      <c r="B3200"/>
      <c r="P3200"/>
      <c r="R3200"/>
      <c r="S3200"/>
      <c r="T3200"/>
    </row>
    <row r="3201" spans="1:20" ht="17.25" customHeight="1">
      <c r="A3201"/>
      <c r="B3201"/>
      <c r="P3201"/>
      <c r="R3201"/>
      <c r="S3201"/>
      <c r="T3201"/>
    </row>
    <row r="3202" spans="1:20" ht="17.25" customHeight="1">
      <c r="A3202"/>
      <c r="B3202"/>
      <c r="P3202"/>
      <c r="R3202"/>
      <c r="S3202"/>
      <c r="T3202"/>
    </row>
    <row r="3203" spans="1:20" ht="17.25" customHeight="1">
      <c r="A3203"/>
      <c r="B3203"/>
      <c r="P3203"/>
      <c r="R3203"/>
      <c r="S3203"/>
      <c r="T3203"/>
    </row>
    <row r="3204" spans="1:20" ht="17.25" customHeight="1">
      <c r="A3204"/>
      <c r="B3204"/>
      <c r="P3204"/>
      <c r="R3204"/>
      <c r="S3204"/>
      <c r="T3204"/>
    </row>
    <row r="3205" spans="1:20" ht="17.25" customHeight="1">
      <c r="A3205"/>
      <c r="B3205"/>
      <c r="P3205"/>
      <c r="R3205"/>
      <c r="S3205"/>
      <c r="T3205"/>
    </row>
    <row r="3206" spans="1:20" ht="17.25" customHeight="1">
      <c r="A3206"/>
      <c r="B3206"/>
      <c r="P3206"/>
      <c r="R3206"/>
      <c r="S3206"/>
      <c r="T3206"/>
    </row>
    <row r="3207" spans="1:20" ht="17.25" customHeight="1">
      <c r="A3207"/>
      <c r="B3207"/>
      <c r="P3207"/>
      <c r="R3207"/>
      <c r="S3207"/>
      <c r="T3207"/>
    </row>
    <row r="3208" spans="1:20" ht="17.25" customHeight="1">
      <c r="A3208"/>
      <c r="B3208"/>
      <c r="P3208"/>
      <c r="R3208"/>
      <c r="S3208"/>
      <c r="T3208"/>
    </row>
    <row r="3209" spans="1:20" ht="17.25" customHeight="1">
      <c r="A3209"/>
      <c r="B3209"/>
      <c r="P3209"/>
      <c r="R3209"/>
      <c r="S3209"/>
      <c r="T3209"/>
    </row>
    <row r="3210" spans="1:20" ht="17.25" customHeight="1">
      <c r="A3210"/>
      <c r="B3210"/>
      <c r="P3210"/>
      <c r="R3210"/>
      <c r="S3210"/>
      <c r="T3210"/>
    </row>
    <row r="3211" spans="1:20" ht="17.25" customHeight="1">
      <c r="A3211"/>
      <c r="B3211"/>
      <c r="P3211"/>
      <c r="R3211"/>
      <c r="S3211"/>
      <c r="T3211"/>
    </row>
    <row r="3212" spans="1:20" ht="17.25" customHeight="1">
      <c r="A3212"/>
      <c r="B3212"/>
      <c r="P3212"/>
      <c r="R3212"/>
      <c r="S3212"/>
      <c r="T3212"/>
    </row>
    <row r="3213" spans="1:20" ht="17.25" customHeight="1">
      <c r="A3213"/>
      <c r="B3213"/>
      <c r="P3213"/>
      <c r="R3213"/>
      <c r="S3213"/>
      <c r="T3213"/>
    </row>
    <row r="3214" spans="1:20" ht="17.25" customHeight="1">
      <c r="A3214"/>
      <c r="B3214"/>
      <c r="P3214"/>
      <c r="R3214"/>
      <c r="S3214"/>
      <c r="T3214"/>
    </row>
    <row r="3215" spans="1:20" ht="17.25" customHeight="1">
      <c r="A3215"/>
      <c r="B3215"/>
      <c r="P3215"/>
      <c r="R3215"/>
      <c r="S3215"/>
      <c r="T3215"/>
    </row>
    <row r="3216" spans="1:20" ht="17.25" customHeight="1">
      <c r="A3216"/>
      <c r="B3216"/>
      <c r="P3216"/>
      <c r="R3216"/>
      <c r="S3216"/>
      <c r="T3216"/>
    </row>
    <row r="3217" spans="1:20" ht="17.25" customHeight="1">
      <c r="A3217"/>
      <c r="B3217"/>
      <c r="P3217"/>
      <c r="R3217"/>
      <c r="S3217"/>
      <c r="T3217"/>
    </row>
    <row r="3218" spans="1:20" ht="17.25" customHeight="1">
      <c r="A3218"/>
      <c r="B3218"/>
      <c r="P3218"/>
      <c r="R3218"/>
      <c r="S3218"/>
      <c r="T3218"/>
    </row>
    <row r="3219" spans="1:20" ht="17.25" customHeight="1">
      <c r="A3219"/>
      <c r="B3219"/>
      <c r="P3219"/>
      <c r="R3219"/>
      <c r="S3219"/>
      <c r="T3219"/>
    </row>
    <row r="3220" spans="1:20" ht="17.25" customHeight="1">
      <c r="A3220"/>
      <c r="B3220"/>
      <c r="P3220"/>
      <c r="R3220"/>
      <c r="S3220"/>
      <c r="T3220"/>
    </row>
    <row r="3221" spans="1:20" ht="17.25" customHeight="1">
      <c r="A3221"/>
      <c r="B3221"/>
      <c r="P3221"/>
      <c r="R3221"/>
      <c r="S3221"/>
      <c r="T3221"/>
    </row>
    <row r="3222" spans="1:20" ht="17.25" customHeight="1">
      <c r="A3222"/>
      <c r="B3222"/>
      <c r="P3222"/>
      <c r="R3222"/>
      <c r="S3222"/>
      <c r="T3222"/>
    </row>
    <row r="3223" spans="1:20" ht="17.25" customHeight="1">
      <c r="A3223"/>
      <c r="B3223"/>
      <c r="P3223"/>
      <c r="R3223"/>
      <c r="S3223"/>
      <c r="T3223"/>
    </row>
    <row r="3224" spans="1:20" ht="17.25" customHeight="1">
      <c r="A3224"/>
      <c r="B3224"/>
      <c r="P3224"/>
      <c r="R3224"/>
      <c r="S3224"/>
      <c r="T3224"/>
    </row>
    <row r="3225" spans="1:20" ht="17.25" customHeight="1">
      <c r="A3225"/>
      <c r="B3225"/>
      <c r="P3225"/>
      <c r="R3225"/>
      <c r="S3225"/>
      <c r="T3225"/>
    </row>
    <row r="3226" spans="1:20" ht="17.25" customHeight="1">
      <c r="A3226"/>
      <c r="B3226"/>
      <c r="P3226"/>
      <c r="R3226"/>
      <c r="S3226"/>
      <c r="T3226"/>
    </row>
    <row r="3227" spans="1:20" ht="17.25" customHeight="1">
      <c r="A3227"/>
      <c r="B3227"/>
      <c r="P3227"/>
      <c r="R3227"/>
      <c r="S3227"/>
      <c r="T3227"/>
    </row>
    <row r="3228" spans="1:20" ht="17.25" customHeight="1">
      <c r="A3228"/>
      <c r="B3228"/>
      <c r="P3228"/>
      <c r="R3228"/>
      <c r="S3228"/>
      <c r="T3228"/>
    </row>
    <row r="3229" spans="1:20" ht="17.25" customHeight="1">
      <c r="A3229"/>
      <c r="B3229"/>
      <c r="P3229"/>
      <c r="R3229"/>
      <c r="S3229"/>
      <c r="T3229"/>
    </row>
    <row r="3230" spans="1:20" ht="17.25" customHeight="1">
      <c r="A3230"/>
      <c r="B3230"/>
      <c r="P3230"/>
      <c r="R3230"/>
      <c r="S3230"/>
      <c r="T3230"/>
    </row>
    <row r="3231" spans="1:20" ht="17.25" customHeight="1">
      <c r="A3231"/>
      <c r="B3231"/>
      <c r="P3231"/>
      <c r="R3231"/>
      <c r="S3231"/>
      <c r="T3231"/>
    </row>
    <row r="3232" spans="1:20" ht="17.25" customHeight="1">
      <c r="A3232"/>
      <c r="B3232"/>
      <c r="P3232"/>
      <c r="R3232"/>
      <c r="S3232"/>
      <c r="T3232"/>
    </row>
    <row r="3233" spans="1:20" ht="17.25" customHeight="1">
      <c r="A3233"/>
      <c r="B3233"/>
      <c r="P3233"/>
      <c r="R3233"/>
      <c r="S3233"/>
      <c r="T3233"/>
    </row>
    <row r="3234" spans="1:20" ht="17.25" customHeight="1">
      <c r="A3234"/>
      <c r="B3234"/>
      <c r="P3234"/>
      <c r="R3234"/>
      <c r="S3234"/>
      <c r="T3234"/>
    </row>
    <row r="3235" spans="1:20" ht="17.25" customHeight="1">
      <c r="A3235"/>
      <c r="B3235"/>
      <c r="P3235"/>
      <c r="R3235"/>
      <c r="S3235"/>
      <c r="T3235"/>
    </row>
    <row r="3236" spans="1:20" ht="17.25" customHeight="1">
      <c r="A3236"/>
      <c r="B3236"/>
      <c r="P3236"/>
      <c r="R3236"/>
      <c r="S3236"/>
      <c r="T3236"/>
    </row>
    <row r="3237" spans="1:20" ht="17.25" customHeight="1">
      <c r="A3237"/>
      <c r="B3237"/>
      <c r="P3237"/>
      <c r="R3237"/>
      <c r="S3237"/>
      <c r="T3237"/>
    </row>
    <row r="3238" spans="1:20" ht="17.25" customHeight="1">
      <c r="A3238"/>
      <c r="B3238"/>
      <c r="P3238"/>
      <c r="R3238"/>
      <c r="S3238"/>
      <c r="T3238"/>
    </row>
    <row r="3239" spans="1:20" ht="17.25" customHeight="1">
      <c r="A3239"/>
      <c r="B3239"/>
      <c r="P3239"/>
      <c r="R3239"/>
      <c r="S3239"/>
      <c r="T3239"/>
    </row>
    <row r="3240" spans="1:20" ht="17.25" customHeight="1">
      <c r="A3240"/>
      <c r="B3240"/>
      <c r="P3240"/>
      <c r="R3240"/>
      <c r="S3240"/>
      <c r="T3240"/>
    </row>
    <row r="3241" spans="1:20" ht="17.25" customHeight="1">
      <c r="A3241"/>
      <c r="B3241"/>
      <c r="P3241"/>
      <c r="R3241"/>
      <c r="S3241"/>
      <c r="T3241"/>
    </row>
    <row r="3242" spans="1:20" ht="17.25" customHeight="1">
      <c r="A3242"/>
      <c r="B3242"/>
      <c r="P3242"/>
      <c r="R3242"/>
      <c r="S3242"/>
      <c r="T3242"/>
    </row>
    <row r="3243" spans="1:20" ht="17.25" customHeight="1">
      <c r="A3243"/>
      <c r="B3243"/>
      <c r="P3243"/>
      <c r="R3243"/>
      <c r="S3243"/>
      <c r="T3243"/>
    </row>
    <row r="3244" spans="1:20" ht="17.25" customHeight="1">
      <c r="A3244"/>
      <c r="B3244"/>
      <c r="P3244"/>
      <c r="R3244"/>
      <c r="S3244"/>
      <c r="T3244"/>
    </row>
    <row r="3245" spans="1:20" ht="17.25" customHeight="1">
      <c r="A3245"/>
      <c r="B3245"/>
      <c r="P3245"/>
      <c r="R3245"/>
      <c r="S3245"/>
      <c r="T3245"/>
    </row>
    <row r="3246" spans="1:20" ht="17.25" customHeight="1">
      <c r="A3246"/>
      <c r="B3246"/>
      <c r="P3246"/>
      <c r="R3246"/>
      <c r="S3246"/>
      <c r="T3246"/>
    </row>
    <row r="3247" spans="1:20" ht="17.25" customHeight="1">
      <c r="A3247"/>
      <c r="B3247"/>
      <c r="P3247"/>
      <c r="R3247"/>
      <c r="S3247"/>
      <c r="T3247"/>
    </row>
    <row r="3248" spans="1:20" ht="17.25" customHeight="1">
      <c r="A3248"/>
      <c r="B3248"/>
      <c r="P3248"/>
      <c r="R3248"/>
      <c r="S3248"/>
      <c r="T3248"/>
    </row>
    <row r="3249" spans="1:20" ht="17.25" customHeight="1">
      <c r="A3249"/>
      <c r="B3249"/>
      <c r="P3249"/>
      <c r="R3249"/>
      <c r="S3249"/>
      <c r="T3249"/>
    </row>
    <row r="3250" spans="1:20" ht="17.25" customHeight="1">
      <c r="A3250"/>
      <c r="B3250"/>
      <c r="P3250"/>
      <c r="R3250"/>
      <c r="S3250"/>
      <c r="T3250"/>
    </row>
    <row r="3251" spans="1:20" ht="17.25" customHeight="1">
      <c r="A3251"/>
      <c r="B3251"/>
      <c r="P3251"/>
      <c r="R3251"/>
      <c r="S3251"/>
      <c r="T3251"/>
    </row>
    <row r="3252" spans="1:20" ht="17.25" customHeight="1">
      <c r="A3252"/>
      <c r="B3252"/>
      <c r="P3252"/>
      <c r="R3252"/>
      <c r="S3252"/>
      <c r="T3252"/>
    </row>
    <row r="3253" spans="1:20" ht="17.25" customHeight="1">
      <c r="A3253"/>
      <c r="B3253"/>
      <c r="P3253"/>
      <c r="R3253"/>
      <c r="S3253"/>
      <c r="T3253"/>
    </row>
    <row r="3254" spans="1:20" ht="17.25" customHeight="1">
      <c r="A3254"/>
      <c r="B3254"/>
      <c r="P3254"/>
      <c r="R3254"/>
      <c r="S3254"/>
      <c r="T3254"/>
    </row>
    <row r="3255" spans="1:20" ht="17.25" customHeight="1">
      <c r="A3255"/>
      <c r="B3255"/>
      <c r="P3255"/>
      <c r="R3255"/>
      <c r="S3255"/>
      <c r="T3255"/>
    </row>
    <row r="3256" spans="1:20" ht="17.25" customHeight="1">
      <c r="A3256"/>
      <c r="B3256"/>
      <c r="P3256"/>
      <c r="R3256"/>
      <c r="S3256"/>
      <c r="T3256"/>
    </row>
    <row r="3257" spans="1:20" ht="17.25" customHeight="1">
      <c r="A3257"/>
      <c r="B3257"/>
      <c r="P3257"/>
      <c r="R3257"/>
      <c r="S3257"/>
      <c r="T3257"/>
    </row>
    <row r="3258" spans="1:20" ht="17.25" customHeight="1">
      <c r="A3258"/>
      <c r="B3258"/>
      <c r="P3258"/>
      <c r="R3258"/>
      <c r="S3258"/>
      <c r="T3258"/>
    </row>
    <row r="3259" spans="1:20" ht="17.25" customHeight="1">
      <c r="A3259"/>
      <c r="B3259"/>
      <c r="P3259"/>
      <c r="R3259"/>
      <c r="S3259"/>
      <c r="T3259"/>
    </row>
    <row r="3260" spans="1:20" ht="17.25" customHeight="1">
      <c r="A3260"/>
      <c r="B3260"/>
      <c r="P3260"/>
      <c r="R3260"/>
      <c r="S3260"/>
      <c r="T3260"/>
    </row>
    <row r="3261" spans="1:20" ht="17.25" customHeight="1">
      <c r="A3261"/>
      <c r="B3261"/>
      <c r="P3261"/>
      <c r="R3261"/>
      <c r="S3261"/>
      <c r="T3261"/>
    </row>
    <row r="3262" spans="1:20" ht="17.25" customHeight="1">
      <c r="A3262"/>
      <c r="B3262"/>
      <c r="P3262"/>
      <c r="R3262"/>
      <c r="S3262"/>
      <c r="T3262"/>
    </row>
    <row r="3263" spans="1:20" ht="17.25" customHeight="1">
      <c r="A3263"/>
      <c r="B3263"/>
      <c r="P3263"/>
      <c r="R3263"/>
      <c r="S3263"/>
      <c r="T3263"/>
    </row>
    <row r="3264" spans="1:20" ht="17.25" customHeight="1">
      <c r="A3264"/>
      <c r="B3264"/>
      <c r="P3264"/>
      <c r="R3264"/>
      <c r="S3264"/>
      <c r="T3264"/>
    </row>
    <row r="3265" spans="1:20" ht="17.25" customHeight="1">
      <c r="A3265"/>
      <c r="B3265"/>
      <c r="P3265"/>
      <c r="R3265"/>
      <c r="S3265"/>
      <c r="T3265"/>
    </row>
    <row r="3266" spans="1:20" ht="17.25" customHeight="1">
      <c r="A3266"/>
      <c r="B3266"/>
      <c r="P3266"/>
      <c r="R3266"/>
      <c r="S3266"/>
      <c r="T3266"/>
    </row>
    <row r="3267" spans="1:20" ht="17.25" customHeight="1">
      <c r="A3267"/>
      <c r="B3267"/>
      <c r="P3267"/>
      <c r="R3267"/>
      <c r="S3267"/>
      <c r="T3267"/>
    </row>
    <row r="3268" spans="1:20" ht="17.25" customHeight="1">
      <c r="A3268"/>
      <c r="B3268"/>
      <c r="P3268"/>
      <c r="R3268"/>
      <c r="S3268"/>
      <c r="T3268"/>
    </row>
    <row r="3269" spans="1:20" ht="17.25" customHeight="1">
      <c r="A3269"/>
      <c r="B3269"/>
      <c r="P3269"/>
      <c r="R3269"/>
      <c r="S3269"/>
      <c r="T3269"/>
    </row>
    <row r="3270" spans="1:20" ht="17.25" customHeight="1">
      <c r="A3270"/>
      <c r="B3270"/>
      <c r="P3270"/>
      <c r="R3270"/>
      <c r="S3270"/>
      <c r="T3270"/>
    </row>
    <row r="3271" spans="1:20" ht="17.25" customHeight="1">
      <c r="A3271"/>
      <c r="B3271"/>
      <c r="P3271"/>
      <c r="R3271"/>
      <c r="S3271"/>
      <c r="T3271"/>
    </row>
    <row r="3272" spans="1:20" ht="17.25" customHeight="1">
      <c r="A3272"/>
      <c r="B3272"/>
      <c r="P3272"/>
      <c r="R3272"/>
      <c r="S3272"/>
      <c r="T3272"/>
    </row>
    <row r="3273" spans="1:20" ht="17.25" customHeight="1">
      <c r="A3273"/>
      <c r="B3273"/>
      <c r="P3273"/>
      <c r="R3273"/>
      <c r="S3273"/>
      <c r="T3273"/>
    </row>
    <row r="3274" spans="1:20" ht="17.25" customHeight="1">
      <c r="A3274"/>
      <c r="B3274"/>
      <c r="P3274"/>
      <c r="R3274"/>
      <c r="S3274"/>
      <c r="T3274"/>
    </row>
    <row r="3275" spans="1:20" ht="17.25" customHeight="1">
      <c r="A3275"/>
      <c r="B3275"/>
      <c r="P3275"/>
      <c r="R3275"/>
      <c r="S3275"/>
      <c r="T3275"/>
    </row>
    <row r="3276" spans="1:20" ht="17.25" customHeight="1">
      <c r="A3276"/>
      <c r="B3276"/>
      <c r="P3276"/>
      <c r="R3276"/>
      <c r="S3276"/>
      <c r="T3276"/>
    </row>
    <row r="3277" spans="1:20" ht="17.25" customHeight="1">
      <c r="A3277"/>
      <c r="B3277"/>
      <c r="P3277"/>
      <c r="R3277"/>
      <c r="S3277"/>
      <c r="T3277"/>
    </row>
    <row r="3278" spans="1:20" ht="17.25" customHeight="1">
      <c r="A3278"/>
      <c r="B3278"/>
      <c r="P3278"/>
      <c r="R3278"/>
      <c r="S3278"/>
      <c r="T3278"/>
    </row>
    <row r="3279" spans="1:20" ht="17.25" customHeight="1">
      <c r="A3279"/>
      <c r="B3279"/>
      <c r="P3279"/>
      <c r="R3279"/>
      <c r="S3279"/>
      <c r="T3279"/>
    </row>
    <row r="3280" spans="1:20" ht="17.25" customHeight="1">
      <c r="A3280"/>
      <c r="B3280"/>
      <c r="P3280"/>
      <c r="R3280"/>
      <c r="S3280"/>
      <c r="T3280"/>
    </row>
    <row r="3281" spans="1:20" ht="17.25" customHeight="1">
      <c r="A3281"/>
      <c r="B3281"/>
      <c r="P3281"/>
      <c r="R3281"/>
      <c r="S3281"/>
      <c r="T3281"/>
    </row>
    <row r="3282" spans="1:20" ht="17.25" customHeight="1">
      <c r="A3282"/>
      <c r="B3282"/>
      <c r="P3282"/>
      <c r="R3282"/>
      <c r="S3282"/>
      <c r="T3282"/>
    </row>
    <row r="3283" spans="1:20" ht="17.25" customHeight="1">
      <c r="A3283"/>
      <c r="B3283"/>
      <c r="P3283"/>
      <c r="R3283"/>
      <c r="S3283"/>
      <c r="T3283"/>
    </row>
    <row r="3284" spans="1:20" ht="17.25" customHeight="1">
      <c r="A3284"/>
      <c r="B3284"/>
      <c r="P3284"/>
      <c r="R3284"/>
      <c r="S3284"/>
      <c r="T3284"/>
    </row>
    <row r="3285" spans="1:20" ht="17.25" customHeight="1">
      <c r="A3285"/>
      <c r="B3285"/>
      <c r="P3285"/>
      <c r="R3285"/>
      <c r="S3285"/>
      <c r="T3285"/>
    </row>
    <row r="3286" spans="1:20" ht="17.25" customHeight="1">
      <c r="A3286"/>
      <c r="B3286"/>
      <c r="P3286"/>
      <c r="R3286"/>
      <c r="S3286"/>
      <c r="T3286"/>
    </row>
    <row r="3287" spans="1:20" ht="17.25" customHeight="1">
      <c r="A3287"/>
      <c r="B3287"/>
      <c r="P3287"/>
      <c r="R3287"/>
      <c r="S3287"/>
      <c r="T3287"/>
    </row>
    <row r="3288" spans="1:20" ht="17.25" customHeight="1">
      <c r="A3288"/>
      <c r="B3288"/>
      <c r="P3288"/>
      <c r="R3288"/>
      <c r="S3288"/>
      <c r="T3288"/>
    </row>
    <row r="3289" spans="1:20" ht="17.25" customHeight="1">
      <c r="A3289"/>
      <c r="B3289"/>
      <c r="P3289"/>
      <c r="R3289"/>
      <c r="S3289"/>
      <c r="T3289"/>
    </row>
    <row r="3290" spans="1:20" ht="17.25" customHeight="1">
      <c r="A3290"/>
      <c r="B3290"/>
      <c r="P3290"/>
      <c r="R3290"/>
      <c r="S3290"/>
      <c r="T3290"/>
    </row>
    <row r="3291" spans="1:20" ht="17.25" customHeight="1">
      <c r="A3291"/>
      <c r="B3291"/>
      <c r="P3291"/>
      <c r="R3291"/>
      <c r="S3291"/>
      <c r="T3291"/>
    </row>
    <row r="3292" spans="1:20" ht="17.25" customHeight="1">
      <c r="A3292"/>
      <c r="B3292"/>
      <c r="P3292"/>
      <c r="R3292"/>
      <c r="S3292"/>
      <c r="T3292"/>
    </row>
    <row r="3293" spans="1:20" ht="17.25" customHeight="1">
      <c r="A3293"/>
      <c r="B3293"/>
      <c r="P3293"/>
      <c r="R3293"/>
      <c r="S3293"/>
      <c r="T3293"/>
    </row>
    <row r="3294" spans="1:20" ht="17.25" customHeight="1">
      <c r="A3294"/>
      <c r="B3294"/>
      <c r="P3294"/>
      <c r="R3294"/>
      <c r="S3294"/>
      <c r="T3294"/>
    </row>
    <row r="3295" spans="1:20" ht="17.25" customHeight="1">
      <c r="A3295"/>
      <c r="B3295"/>
      <c r="P3295"/>
      <c r="R3295"/>
      <c r="S3295"/>
      <c r="T3295"/>
    </row>
    <row r="3296" spans="1:20" ht="17.25" customHeight="1">
      <c r="A3296"/>
      <c r="B3296"/>
      <c r="P3296"/>
      <c r="R3296"/>
      <c r="S3296"/>
      <c r="T3296"/>
    </row>
    <row r="3297" spans="1:20" ht="17.25" customHeight="1">
      <c r="A3297"/>
      <c r="B3297"/>
      <c r="P3297"/>
      <c r="R3297"/>
      <c r="S3297"/>
      <c r="T3297"/>
    </row>
    <row r="3298" spans="1:20" ht="17.25" customHeight="1">
      <c r="A3298"/>
      <c r="B3298"/>
      <c r="P3298"/>
      <c r="R3298"/>
      <c r="S3298"/>
      <c r="T3298"/>
    </row>
    <row r="3299" spans="1:20" ht="17.25" customHeight="1">
      <c r="A3299"/>
      <c r="B3299"/>
      <c r="P3299"/>
      <c r="R3299"/>
      <c r="S3299"/>
      <c r="T3299"/>
    </row>
    <row r="3300" spans="1:20" ht="17.25" customHeight="1">
      <c r="A3300"/>
      <c r="B3300"/>
      <c r="P3300"/>
      <c r="R3300"/>
      <c r="S3300"/>
      <c r="T3300"/>
    </row>
    <row r="3301" spans="1:20" ht="17.25" customHeight="1">
      <c r="A3301"/>
      <c r="B3301"/>
      <c r="P3301"/>
      <c r="R3301"/>
      <c r="S3301"/>
      <c r="T3301"/>
    </row>
    <row r="3302" spans="1:20" ht="17.25" customHeight="1">
      <c r="A3302"/>
      <c r="B3302"/>
      <c r="P3302"/>
      <c r="R3302"/>
      <c r="S3302"/>
      <c r="T3302"/>
    </row>
    <row r="3303" spans="1:20" ht="17.25" customHeight="1">
      <c r="A3303"/>
      <c r="B3303"/>
      <c r="P3303"/>
      <c r="R3303"/>
      <c r="S3303"/>
      <c r="T3303"/>
    </row>
    <row r="3304" spans="1:20" ht="17.25" customHeight="1">
      <c r="A3304"/>
      <c r="B3304"/>
      <c r="P3304"/>
      <c r="R3304"/>
      <c r="S3304"/>
      <c r="T3304"/>
    </row>
    <row r="3305" spans="1:20" ht="17.25" customHeight="1">
      <c r="A3305"/>
      <c r="B3305"/>
      <c r="P3305"/>
      <c r="R3305"/>
      <c r="S3305"/>
      <c r="T3305"/>
    </row>
    <row r="3306" spans="1:20" ht="17.25" customHeight="1">
      <c r="A3306"/>
      <c r="B3306"/>
      <c r="P3306"/>
      <c r="R3306"/>
      <c r="S3306"/>
      <c r="T3306"/>
    </row>
    <row r="3307" spans="1:20" ht="17.25" customHeight="1">
      <c r="A3307"/>
      <c r="B3307"/>
      <c r="P3307"/>
      <c r="R3307"/>
      <c r="S3307"/>
      <c r="T3307"/>
    </row>
    <row r="3308" spans="1:20" ht="17.25" customHeight="1">
      <c r="A3308"/>
      <c r="B3308"/>
      <c r="P3308"/>
      <c r="R3308"/>
      <c r="S3308"/>
      <c r="T3308"/>
    </row>
    <row r="3309" spans="1:20" ht="17.25" customHeight="1">
      <c r="A3309"/>
      <c r="B3309"/>
      <c r="P3309"/>
      <c r="R3309"/>
      <c r="S3309"/>
      <c r="T3309"/>
    </row>
    <row r="3310" spans="1:20" ht="17.25" customHeight="1">
      <c r="A3310"/>
      <c r="B3310"/>
      <c r="P3310"/>
      <c r="R3310"/>
      <c r="S3310"/>
      <c r="T3310"/>
    </row>
    <row r="3311" spans="1:20" ht="17.25" customHeight="1">
      <c r="A3311"/>
      <c r="B3311"/>
      <c r="P3311"/>
      <c r="R3311"/>
      <c r="S3311"/>
      <c r="T3311"/>
    </row>
    <row r="3312" spans="1:20" ht="17.25" customHeight="1">
      <c r="A3312"/>
      <c r="B3312"/>
      <c r="P3312"/>
      <c r="R3312"/>
      <c r="S3312"/>
      <c r="T3312"/>
    </row>
    <row r="3313" spans="1:20" ht="17.25" customHeight="1">
      <c r="A3313"/>
      <c r="B3313"/>
      <c r="P3313"/>
      <c r="R3313"/>
      <c r="S3313"/>
      <c r="T3313"/>
    </row>
    <row r="3314" spans="1:20" ht="17.25" customHeight="1">
      <c r="A3314"/>
      <c r="B3314"/>
      <c r="P3314"/>
      <c r="R3314"/>
      <c r="S3314"/>
      <c r="T3314"/>
    </row>
    <row r="3315" spans="1:20" ht="17.25" customHeight="1">
      <c r="A3315"/>
      <c r="B3315"/>
      <c r="P3315"/>
      <c r="R3315"/>
      <c r="S3315"/>
      <c r="T3315"/>
    </row>
    <row r="3316" spans="1:20" ht="17.25" customHeight="1">
      <c r="A3316"/>
      <c r="B3316"/>
      <c r="P3316"/>
      <c r="R3316"/>
      <c r="S3316"/>
      <c r="T3316"/>
    </row>
    <row r="3317" spans="1:20" ht="17.25" customHeight="1">
      <c r="A3317"/>
      <c r="B3317"/>
      <c r="P3317"/>
      <c r="R3317"/>
      <c r="S3317"/>
      <c r="T3317"/>
    </row>
    <row r="3318" spans="1:20" ht="17.25" customHeight="1">
      <c r="A3318"/>
      <c r="B3318"/>
      <c r="P3318"/>
      <c r="R3318"/>
      <c r="S3318"/>
      <c r="T3318"/>
    </row>
    <row r="3319" spans="1:20" ht="17.25" customHeight="1">
      <c r="A3319"/>
      <c r="B3319"/>
      <c r="P3319"/>
      <c r="R3319"/>
      <c r="S3319"/>
      <c r="T3319"/>
    </row>
    <row r="3320" spans="1:20" ht="17.25" customHeight="1">
      <c r="A3320"/>
      <c r="B3320"/>
      <c r="P3320"/>
      <c r="R3320"/>
      <c r="S3320"/>
      <c r="T3320"/>
    </row>
    <row r="3321" spans="1:20" ht="17.25" customHeight="1">
      <c r="A3321"/>
      <c r="B3321"/>
      <c r="P3321"/>
      <c r="R3321"/>
      <c r="S3321"/>
      <c r="T3321"/>
    </row>
    <row r="3322" spans="1:20" ht="17.25" customHeight="1">
      <c r="A3322"/>
      <c r="B3322"/>
      <c r="P3322"/>
      <c r="R3322"/>
      <c r="S3322"/>
      <c r="T3322"/>
    </row>
    <row r="3323" spans="1:20" ht="17.25" customHeight="1">
      <c r="A3323"/>
      <c r="B3323"/>
      <c r="P3323"/>
      <c r="R3323"/>
      <c r="S3323"/>
      <c r="T3323"/>
    </row>
    <row r="3324" spans="1:20" ht="17.25" customHeight="1">
      <c r="A3324"/>
      <c r="B3324"/>
      <c r="P3324"/>
      <c r="R3324"/>
      <c r="S3324"/>
      <c r="T3324"/>
    </row>
    <row r="3325" spans="1:20" ht="17.25" customHeight="1">
      <c r="A3325"/>
      <c r="B3325"/>
      <c r="P3325"/>
      <c r="R3325"/>
      <c r="S3325"/>
      <c r="T3325"/>
    </row>
    <row r="3326" spans="1:20" ht="17.25" customHeight="1">
      <c r="A3326"/>
      <c r="B3326"/>
      <c r="P3326"/>
      <c r="R3326"/>
      <c r="S3326"/>
      <c r="T3326"/>
    </row>
    <row r="3327" spans="1:20" ht="17.25" customHeight="1">
      <c r="A3327"/>
      <c r="B3327"/>
      <c r="P3327"/>
      <c r="R3327"/>
      <c r="S3327"/>
      <c r="T3327"/>
    </row>
    <row r="3328" spans="1:20" ht="17.25" customHeight="1">
      <c r="A3328"/>
      <c r="B3328"/>
      <c r="P3328"/>
      <c r="R3328"/>
      <c r="S3328"/>
      <c r="T3328"/>
    </row>
    <row r="3329" spans="1:20" ht="17.25" customHeight="1">
      <c r="A3329"/>
      <c r="B3329"/>
      <c r="P3329"/>
      <c r="R3329"/>
      <c r="S3329"/>
      <c r="T3329"/>
    </row>
    <row r="3330" spans="1:20" ht="17.25" customHeight="1">
      <c r="A3330"/>
      <c r="B3330"/>
      <c r="P3330"/>
      <c r="R3330"/>
      <c r="S3330"/>
      <c r="T3330"/>
    </row>
    <row r="3331" spans="1:20" ht="17.25" customHeight="1">
      <c r="A3331"/>
      <c r="B3331"/>
      <c r="P3331"/>
      <c r="R3331"/>
      <c r="S3331"/>
      <c r="T3331"/>
    </row>
    <row r="3332" spans="1:20" ht="17.25" customHeight="1">
      <c r="A3332"/>
      <c r="B3332"/>
      <c r="P3332"/>
      <c r="R3332"/>
      <c r="S3332"/>
      <c r="T3332"/>
    </row>
    <row r="3333" spans="1:20" ht="17.25" customHeight="1">
      <c r="A3333"/>
      <c r="B3333"/>
      <c r="P3333"/>
      <c r="R3333"/>
      <c r="S3333"/>
      <c r="T3333"/>
    </row>
    <row r="3334" spans="1:20" ht="17.25" customHeight="1">
      <c r="A3334"/>
      <c r="B3334"/>
      <c r="P3334"/>
      <c r="R3334"/>
      <c r="S3334"/>
      <c r="T3334"/>
    </row>
    <row r="3335" spans="1:20" ht="17.25" customHeight="1">
      <c r="A3335"/>
      <c r="B3335"/>
      <c r="P3335"/>
      <c r="R3335"/>
      <c r="S3335"/>
      <c r="T3335"/>
    </row>
    <row r="3336" spans="1:20" ht="17.25" customHeight="1">
      <c r="A3336"/>
      <c r="B3336"/>
      <c r="P3336"/>
      <c r="R3336"/>
      <c r="S3336"/>
      <c r="T3336"/>
    </row>
    <row r="3337" spans="1:20" ht="17.25" customHeight="1">
      <c r="A3337"/>
      <c r="B3337"/>
      <c r="P3337"/>
      <c r="R3337"/>
      <c r="S3337"/>
      <c r="T3337"/>
    </row>
    <row r="3338" spans="1:20" ht="17.25" customHeight="1">
      <c r="A3338"/>
      <c r="B3338"/>
      <c r="P3338"/>
      <c r="R3338"/>
      <c r="S3338"/>
      <c r="T3338"/>
    </row>
    <row r="3339" spans="1:20" ht="17.25" customHeight="1">
      <c r="A3339"/>
      <c r="B3339"/>
      <c r="P3339"/>
      <c r="R3339"/>
      <c r="S3339"/>
      <c r="T3339"/>
    </row>
    <row r="3340" spans="1:20" ht="17.25" customHeight="1">
      <c r="A3340"/>
      <c r="B3340"/>
      <c r="P3340"/>
      <c r="R3340"/>
      <c r="S3340"/>
      <c r="T3340"/>
    </row>
    <row r="3341" spans="1:20" ht="17.25" customHeight="1">
      <c r="A3341"/>
      <c r="B3341"/>
      <c r="P3341"/>
      <c r="R3341"/>
      <c r="S3341"/>
      <c r="T3341"/>
    </row>
    <row r="3342" spans="1:20" ht="17.25" customHeight="1">
      <c r="A3342"/>
      <c r="B3342"/>
      <c r="P3342"/>
      <c r="R3342"/>
      <c r="S3342"/>
      <c r="T3342"/>
    </row>
    <row r="3343" spans="1:20" ht="17.25" customHeight="1">
      <c r="A3343"/>
      <c r="B3343"/>
      <c r="P3343"/>
      <c r="R3343"/>
      <c r="S3343"/>
      <c r="T3343"/>
    </row>
    <row r="3344" spans="1:20" ht="17.25" customHeight="1">
      <c r="A3344"/>
      <c r="B3344"/>
      <c r="P3344"/>
      <c r="R3344"/>
      <c r="S3344"/>
      <c r="T3344"/>
    </row>
    <row r="3345" spans="1:20" ht="17.25" customHeight="1">
      <c r="A3345"/>
      <c r="B3345"/>
      <c r="P3345"/>
      <c r="R3345"/>
      <c r="S3345"/>
      <c r="T3345"/>
    </row>
    <row r="3346" spans="1:20" ht="17.25" customHeight="1">
      <c r="A3346"/>
      <c r="B3346"/>
      <c r="P3346"/>
      <c r="R3346"/>
      <c r="S3346"/>
      <c r="T3346"/>
    </row>
    <row r="3347" spans="1:20" ht="17.25" customHeight="1">
      <c r="A3347"/>
      <c r="B3347"/>
      <c r="P3347"/>
      <c r="R3347"/>
      <c r="S3347"/>
      <c r="T3347"/>
    </row>
    <row r="3348" spans="1:20" ht="17.25" customHeight="1">
      <c r="A3348"/>
      <c r="B3348"/>
      <c r="P3348"/>
      <c r="R3348"/>
      <c r="S3348"/>
      <c r="T3348"/>
    </row>
    <row r="3349" spans="1:20" ht="17.25" customHeight="1">
      <c r="A3349"/>
      <c r="B3349"/>
      <c r="P3349"/>
      <c r="R3349"/>
      <c r="S3349"/>
      <c r="T3349"/>
    </row>
    <row r="3350" spans="1:20" ht="17.25" customHeight="1">
      <c r="A3350"/>
      <c r="B3350"/>
      <c r="P3350"/>
      <c r="R3350"/>
      <c r="S3350"/>
      <c r="T3350"/>
    </row>
    <row r="3351" spans="1:20" ht="17.25" customHeight="1">
      <c r="A3351"/>
      <c r="B3351"/>
      <c r="P3351"/>
      <c r="R3351"/>
      <c r="S3351"/>
      <c r="T3351"/>
    </row>
    <row r="3352" spans="1:20" ht="17.25" customHeight="1">
      <c r="A3352"/>
      <c r="B3352"/>
      <c r="P3352"/>
      <c r="R3352"/>
      <c r="S3352"/>
      <c r="T3352"/>
    </row>
    <row r="3353" spans="1:20" ht="17.25" customHeight="1">
      <c r="A3353"/>
      <c r="B3353"/>
      <c r="P3353"/>
      <c r="R3353"/>
      <c r="S3353"/>
      <c r="T3353"/>
    </row>
    <row r="3354" spans="1:20" ht="17.25" customHeight="1">
      <c r="A3354"/>
      <c r="B3354"/>
      <c r="P3354"/>
      <c r="R3354"/>
      <c r="S3354"/>
      <c r="T3354"/>
    </row>
    <row r="3355" spans="1:20" ht="17.25" customHeight="1">
      <c r="A3355"/>
      <c r="B3355"/>
      <c r="P3355"/>
      <c r="R3355"/>
      <c r="S3355"/>
      <c r="T3355"/>
    </row>
    <row r="3356" spans="1:20" ht="17.25" customHeight="1">
      <c r="A3356"/>
      <c r="B3356"/>
      <c r="P3356"/>
      <c r="R3356"/>
      <c r="S3356"/>
      <c r="T3356"/>
    </row>
    <row r="3357" spans="1:20" ht="17.25" customHeight="1">
      <c r="A3357"/>
      <c r="B3357"/>
      <c r="P3357"/>
      <c r="R3357"/>
      <c r="S3357"/>
      <c r="T3357"/>
    </row>
    <row r="3358" spans="1:20" ht="17.25" customHeight="1">
      <c r="A3358"/>
      <c r="B3358"/>
      <c r="P3358"/>
      <c r="R3358"/>
      <c r="S3358"/>
      <c r="T3358"/>
    </row>
    <row r="3359" spans="1:20" ht="17.25" customHeight="1">
      <c r="A3359"/>
      <c r="B3359"/>
      <c r="P3359"/>
      <c r="R3359"/>
      <c r="S3359"/>
      <c r="T3359"/>
    </row>
    <row r="3360" spans="1:20" ht="17.25" customHeight="1">
      <c r="A3360"/>
      <c r="B3360"/>
      <c r="P3360"/>
      <c r="R3360"/>
      <c r="S3360"/>
      <c r="T3360"/>
    </row>
    <row r="3361" spans="1:20" ht="17.25" customHeight="1">
      <c r="A3361"/>
      <c r="B3361"/>
      <c r="P3361"/>
      <c r="R3361"/>
      <c r="S3361"/>
      <c r="T3361"/>
    </row>
    <row r="3362" spans="1:20" ht="17.25" customHeight="1">
      <c r="A3362"/>
      <c r="B3362"/>
      <c r="P3362"/>
      <c r="R3362"/>
      <c r="S3362"/>
      <c r="T3362"/>
    </row>
    <row r="3363" spans="1:20" ht="17.25" customHeight="1">
      <c r="A3363"/>
      <c r="B3363"/>
      <c r="P3363"/>
      <c r="R3363"/>
      <c r="S3363"/>
      <c r="T3363"/>
    </row>
    <row r="3364" spans="1:20" ht="17.25" customHeight="1">
      <c r="A3364"/>
      <c r="B3364"/>
      <c r="P3364"/>
      <c r="R3364"/>
      <c r="S3364"/>
      <c r="T3364"/>
    </row>
    <row r="3365" spans="1:20" ht="17.25" customHeight="1">
      <c r="A3365"/>
      <c r="B3365"/>
      <c r="P3365"/>
      <c r="R3365"/>
      <c r="S3365"/>
      <c r="T3365"/>
    </row>
    <row r="3366" spans="1:20" ht="17.25" customHeight="1">
      <c r="A3366"/>
      <c r="B3366"/>
      <c r="P3366"/>
      <c r="R3366"/>
      <c r="S3366"/>
      <c r="T3366"/>
    </row>
    <row r="3367" spans="1:20" ht="17.25" customHeight="1">
      <c r="A3367"/>
      <c r="B3367"/>
      <c r="P3367"/>
      <c r="R3367"/>
      <c r="S3367"/>
      <c r="T3367"/>
    </row>
    <row r="3368" spans="1:20" ht="17.25" customHeight="1">
      <c r="A3368"/>
      <c r="B3368"/>
      <c r="P3368"/>
      <c r="R3368"/>
      <c r="S3368"/>
      <c r="T3368"/>
    </row>
    <row r="3369" spans="1:20" ht="17.25" customHeight="1">
      <c r="A3369"/>
      <c r="B3369"/>
      <c r="P3369"/>
      <c r="R3369"/>
      <c r="S3369"/>
      <c r="T3369"/>
    </row>
    <row r="3370" spans="1:20" ht="17.25" customHeight="1">
      <c r="A3370"/>
      <c r="B3370"/>
      <c r="P3370"/>
      <c r="R3370"/>
      <c r="S3370"/>
      <c r="T3370"/>
    </row>
    <row r="3371" spans="1:20" ht="17.25" customHeight="1">
      <c r="A3371"/>
      <c r="B3371"/>
      <c r="P3371"/>
      <c r="R3371"/>
      <c r="S3371"/>
      <c r="T3371"/>
    </row>
    <row r="3372" spans="1:20" ht="17.25" customHeight="1">
      <c r="A3372"/>
      <c r="B3372"/>
      <c r="P3372"/>
      <c r="R3372"/>
      <c r="S3372"/>
      <c r="T3372"/>
    </row>
    <row r="3373" spans="1:20" ht="17.25" customHeight="1">
      <c r="A3373"/>
      <c r="B3373"/>
      <c r="P3373"/>
      <c r="R3373"/>
      <c r="S3373"/>
      <c r="T3373"/>
    </row>
    <row r="3374" spans="1:20" ht="17.25" customHeight="1">
      <c r="A3374"/>
      <c r="B3374"/>
      <c r="P3374"/>
      <c r="R3374"/>
      <c r="S3374"/>
      <c r="T3374"/>
    </row>
    <row r="3375" spans="1:20" ht="17.25" customHeight="1">
      <c r="A3375"/>
      <c r="B3375"/>
      <c r="P3375"/>
      <c r="R3375"/>
      <c r="S3375"/>
      <c r="T3375"/>
    </row>
    <row r="3376" spans="1:20" ht="17.25" customHeight="1">
      <c r="A3376"/>
      <c r="B3376"/>
      <c r="P3376"/>
      <c r="R3376"/>
      <c r="S3376"/>
      <c r="T3376"/>
    </row>
    <row r="3377" spans="1:20" ht="17.25" customHeight="1">
      <c r="A3377"/>
      <c r="B3377"/>
      <c r="P3377"/>
      <c r="R3377"/>
      <c r="S3377"/>
      <c r="T3377"/>
    </row>
    <row r="3378" spans="1:20" ht="17.25" customHeight="1">
      <c r="A3378"/>
      <c r="B3378"/>
      <c r="P3378"/>
      <c r="R3378"/>
      <c r="S3378"/>
      <c r="T3378"/>
    </row>
    <row r="3379" spans="1:20" ht="17.25" customHeight="1">
      <c r="A3379"/>
      <c r="B3379"/>
      <c r="P3379"/>
      <c r="R3379"/>
      <c r="S3379"/>
      <c r="T3379"/>
    </row>
    <row r="3380" spans="1:20" ht="17.25" customHeight="1">
      <c r="A3380"/>
      <c r="B3380"/>
      <c r="P3380"/>
      <c r="R3380"/>
      <c r="S3380"/>
      <c r="T3380"/>
    </row>
    <row r="3381" spans="1:20" ht="17.25" customHeight="1">
      <c r="A3381"/>
      <c r="B3381"/>
      <c r="P3381"/>
      <c r="R3381"/>
      <c r="S3381"/>
      <c r="T3381"/>
    </row>
    <row r="3382" spans="1:20" ht="17.25" customHeight="1">
      <c r="A3382"/>
      <c r="B3382"/>
      <c r="P3382"/>
      <c r="R3382"/>
      <c r="S3382"/>
      <c r="T3382"/>
    </row>
    <row r="3383" spans="1:20" ht="17.25" customHeight="1">
      <c r="A3383"/>
      <c r="B3383"/>
      <c r="P3383"/>
      <c r="R3383"/>
      <c r="S3383"/>
      <c r="T3383"/>
    </row>
    <row r="3384" spans="1:20" ht="17.25" customHeight="1">
      <c r="A3384"/>
      <c r="B3384"/>
      <c r="P3384"/>
      <c r="R3384"/>
      <c r="S3384"/>
      <c r="T3384"/>
    </row>
    <row r="3385" spans="1:20" ht="17.25" customHeight="1">
      <c r="A3385"/>
      <c r="B3385"/>
      <c r="P3385"/>
      <c r="R3385"/>
      <c r="S3385"/>
      <c r="T3385"/>
    </row>
    <row r="3386" spans="1:20" ht="17.25" customHeight="1">
      <c r="A3386"/>
      <c r="B3386"/>
      <c r="P3386"/>
      <c r="R3386"/>
      <c r="S3386"/>
      <c r="T3386"/>
    </row>
    <row r="3387" spans="1:20" ht="17.25" customHeight="1">
      <c r="A3387"/>
      <c r="B3387"/>
      <c r="P3387"/>
      <c r="R3387"/>
      <c r="S3387"/>
      <c r="T3387"/>
    </row>
    <row r="3388" spans="1:20" ht="17.25" customHeight="1">
      <c r="A3388"/>
      <c r="B3388"/>
      <c r="P3388"/>
      <c r="R3388"/>
      <c r="S3388"/>
      <c r="T3388"/>
    </row>
    <row r="3389" spans="1:20" ht="17.25" customHeight="1">
      <c r="A3389"/>
      <c r="B3389"/>
      <c r="P3389"/>
      <c r="R3389"/>
      <c r="S3389"/>
      <c r="T3389"/>
    </row>
    <row r="3390" spans="1:20" ht="17.25" customHeight="1">
      <c r="A3390"/>
      <c r="B3390"/>
      <c r="P3390"/>
      <c r="R3390"/>
      <c r="S3390"/>
      <c r="T3390"/>
    </row>
    <row r="3391" spans="1:20" ht="17.25" customHeight="1">
      <c r="A3391"/>
      <c r="B3391"/>
      <c r="P3391"/>
      <c r="R3391"/>
      <c r="S3391"/>
      <c r="T3391"/>
    </row>
    <row r="3392" spans="1:20" ht="17.25" customHeight="1">
      <c r="A3392"/>
      <c r="B3392"/>
      <c r="P3392"/>
      <c r="R3392"/>
      <c r="S3392"/>
      <c r="T3392"/>
    </row>
    <row r="3393" spans="1:20" ht="17.25" customHeight="1">
      <c r="A3393"/>
      <c r="B3393"/>
      <c r="P3393"/>
      <c r="R3393"/>
      <c r="S3393"/>
      <c r="T3393"/>
    </row>
    <row r="3394" spans="1:20" ht="17.25" customHeight="1">
      <c r="A3394"/>
      <c r="B3394"/>
      <c r="P3394"/>
      <c r="R3394"/>
      <c r="S3394"/>
      <c r="T3394"/>
    </row>
    <row r="3395" spans="1:20" ht="17.25" customHeight="1">
      <c r="A3395"/>
      <c r="B3395"/>
      <c r="P3395"/>
      <c r="R3395"/>
      <c r="S3395"/>
      <c r="T3395"/>
    </row>
    <row r="3396" spans="1:20" ht="17.25" customHeight="1">
      <c r="A3396"/>
      <c r="B3396"/>
      <c r="P3396"/>
      <c r="R3396"/>
      <c r="S3396"/>
      <c r="T3396"/>
    </row>
    <row r="3397" spans="1:20" ht="17.25" customHeight="1">
      <c r="A3397"/>
      <c r="B3397"/>
      <c r="P3397"/>
      <c r="R3397"/>
      <c r="S3397"/>
      <c r="T3397"/>
    </row>
    <row r="3398" spans="1:20" ht="17.25" customHeight="1">
      <c r="A3398"/>
      <c r="B3398"/>
      <c r="P3398"/>
      <c r="R3398"/>
      <c r="S3398"/>
      <c r="T3398"/>
    </row>
    <row r="3399" spans="1:20" ht="17.25" customHeight="1">
      <c r="A3399"/>
      <c r="B3399"/>
      <c r="P3399"/>
      <c r="R3399"/>
      <c r="S3399"/>
      <c r="T3399"/>
    </row>
    <row r="3400" spans="1:20" ht="17.25" customHeight="1">
      <c r="A3400"/>
      <c r="B3400"/>
      <c r="P3400"/>
      <c r="R3400"/>
      <c r="S3400"/>
      <c r="T3400"/>
    </row>
    <row r="3401" spans="1:20" ht="17.25" customHeight="1">
      <c r="A3401"/>
      <c r="B3401"/>
      <c r="P3401"/>
      <c r="R3401"/>
      <c r="S3401"/>
      <c r="T3401"/>
    </row>
    <row r="3402" spans="1:20" ht="17.25" customHeight="1">
      <c r="A3402"/>
      <c r="B3402"/>
      <c r="P3402"/>
      <c r="R3402"/>
      <c r="S3402"/>
      <c r="T3402"/>
    </row>
    <row r="3403" spans="1:20" ht="17.25" customHeight="1">
      <c r="A3403"/>
      <c r="B3403"/>
      <c r="P3403"/>
      <c r="R3403"/>
      <c r="S3403"/>
      <c r="T3403"/>
    </row>
    <row r="3404" spans="1:20" ht="17.25" customHeight="1">
      <c r="A3404"/>
      <c r="B3404"/>
      <c r="P3404"/>
      <c r="R3404"/>
      <c r="S3404"/>
      <c r="T3404"/>
    </row>
    <row r="3405" spans="1:20" ht="17.25" customHeight="1">
      <c r="A3405"/>
      <c r="B3405"/>
      <c r="P3405"/>
      <c r="R3405"/>
      <c r="S3405"/>
      <c r="T3405"/>
    </row>
    <row r="3406" spans="1:20" ht="17.25" customHeight="1">
      <c r="A3406"/>
      <c r="B3406"/>
      <c r="P3406"/>
      <c r="R3406"/>
      <c r="S3406"/>
      <c r="T3406"/>
    </row>
    <row r="3407" spans="1:20" ht="17.25" customHeight="1">
      <c r="A3407"/>
      <c r="B3407"/>
      <c r="P3407"/>
      <c r="R3407"/>
      <c r="S3407"/>
      <c r="T3407"/>
    </row>
    <row r="3408" spans="1:20" ht="17.25" customHeight="1">
      <c r="A3408"/>
      <c r="B3408"/>
      <c r="P3408"/>
      <c r="R3408"/>
      <c r="S3408"/>
      <c r="T3408"/>
    </row>
    <row r="3409" spans="1:20" ht="17.25" customHeight="1">
      <c r="A3409"/>
      <c r="B3409"/>
      <c r="P3409"/>
      <c r="R3409"/>
      <c r="S3409"/>
      <c r="T3409"/>
    </row>
    <row r="3410" spans="1:20" ht="17.25" customHeight="1">
      <c r="A3410"/>
      <c r="B3410"/>
      <c r="P3410"/>
      <c r="R3410"/>
      <c r="S3410"/>
      <c r="T3410"/>
    </row>
    <row r="3411" spans="1:20" ht="17.25" customHeight="1">
      <c r="A3411"/>
      <c r="B3411"/>
      <c r="P3411"/>
      <c r="R3411"/>
      <c r="S3411"/>
      <c r="T3411"/>
    </row>
    <row r="3412" spans="1:20" ht="17.25" customHeight="1">
      <c r="A3412"/>
      <c r="B3412"/>
      <c r="P3412"/>
      <c r="R3412"/>
      <c r="S3412"/>
      <c r="T3412"/>
    </row>
    <row r="3413" spans="1:20" ht="17.25" customHeight="1">
      <c r="A3413"/>
      <c r="B3413"/>
      <c r="P3413"/>
      <c r="R3413"/>
      <c r="S3413"/>
      <c r="T3413"/>
    </row>
    <row r="3414" spans="1:20" ht="17.25" customHeight="1">
      <c r="A3414"/>
      <c r="B3414"/>
      <c r="P3414"/>
      <c r="R3414"/>
      <c r="S3414"/>
      <c r="T3414"/>
    </row>
    <row r="3415" spans="1:20" ht="17.25" customHeight="1">
      <c r="A3415"/>
      <c r="B3415"/>
      <c r="P3415"/>
      <c r="R3415"/>
      <c r="S3415"/>
      <c r="T3415"/>
    </row>
    <row r="3416" spans="1:20" ht="17.25" customHeight="1">
      <c r="A3416"/>
      <c r="B3416"/>
      <c r="P3416"/>
      <c r="R3416"/>
      <c r="S3416"/>
      <c r="T3416"/>
    </row>
    <row r="3417" spans="1:20" ht="17.25" customHeight="1">
      <c r="A3417"/>
      <c r="B3417"/>
      <c r="P3417"/>
      <c r="R3417"/>
      <c r="S3417"/>
      <c r="T3417"/>
    </row>
    <row r="3418" spans="1:20" ht="17.25" customHeight="1">
      <c r="A3418"/>
      <c r="B3418"/>
      <c r="P3418"/>
      <c r="R3418"/>
      <c r="S3418"/>
      <c r="T3418"/>
    </row>
    <row r="3419" spans="1:20" ht="17.25" customHeight="1">
      <c r="A3419"/>
      <c r="B3419"/>
      <c r="P3419"/>
      <c r="R3419"/>
      <c r="S3419"/>
      <c r="T3419"/>
    </row>
    <row r="3420" spans="1:20" ht="17.25" customHeight="1">
      <c r="A3420"/>
      <c r="B3420"/>
      <c r="P3420"/>
      <c r="R3420"/>
      <c r="S3420"/>
      <c r="T3420"/>
    </row>
    <row r="3421" spans="1:20" ht="17.25" customHeight="1">
      <c r="A3421"/>
      <c r="B3421"/>
      <c r="P3421"/>
      <c r="R3421"/>
      <c r="S3421"/>
      <c r="T3421"/>
    </row>
    <row r="3422" spans="1:20" ht="17.25" customHeight="1">
      <c r="A3422"/>
      <c r="B3422"/>
      <c r="P3422"/>
      <c r="R3422"/>
      <c r="S3422"/>
      <c r="T3422"/>
    </row>
    <row r="3423" spans="1:20" ht="17.25" customHeight="1">
      <c r="A3423"/>
      <c r="B3423"/>
      <c r="P3423"/>
      <c r="R3423"/>
      <c r="S3423"/>
      <c r="T3423"/>
    </row>
    <row r="3424" spans="1:20" ht="17.25" customHeight="1">
      <c r="A3424"/>
      <c r="B3424"/>
      <c r="P3424"/>
      <c r="R3424"/>
      <c r="S3424"/>
      <c r="T3424"/>
    </row>
    <row r="3425" spans="1:20" ht="17.25" customHeight="1">
      <c r="A3425"/>
      <c r="B3425"/>
      <c r="P3425"/>
      <c r="R3425"/>
      <c r="S3425"/>
      <c r="T3425"/>
    </row>
    <row r="3426" spans="1:20" ht="17.25" customHeight="1">
      <c r="A3426"/>
      <c r="B3426"/>
      <c r="P3426"/>
      <c r="R3426"/>
      <c r="S3426"/>
      <c r="T3426"/>
    </row>
    <row r="3427" spans="1:20" ht="17.25" customHeight="1">
      <c r="A3427"/>
      <c r="B3427"/>
      <c r="P3427"/>
      <c r="R3427"/>
      <c r="S3427"/>
      <c r="T3427"/>
    </row>
    <row r="3428" spans="1:20" ht="17.25" customHeight="1">
      <c r="A3428"/>
      <c r="B3428"/>
      <c r="P3428"/>
      <c r="R3428"/>
      <c r="S3428"/>
      <c r="T3428"/>
    </row>
    <row r="3429" spans="1:20" ht="17.25" customHeight="1">
      <c r="A3429"/>
      <c r="B3429"/>
      <c r="P3429"/>
      <c r="R3429"/>
      <c r="S3429"/>
      <c r="T3429"/>
    </row>
    <row r="3430" spans="1:20" ht="17.25" customHeight="1">
      <c r="A3430"/>
      <c r="B3430"/>
      <c r="P3430"/>
      <c r="R3430"/>
      <c r="S3430"/>
      <c r="T3430"/>
    </row>
    <row r="3431" spans="1:20" ht="17.25" customHeight="1">
      <c r="A3431"/>
      <c r="B3431"/>
      <c r="P3431"/>
      <c r="R3431"/>
      <c r="S3431"/>
      <c r="T3431"/>
    </row>
    <row r="3432" spans="1:20" ht="17.25" customHeight="1">
      <c r="A3432"/>
      <c r="B3432"/>
      <c r="P3432"/>
      <c r="R3432"/>
      <c r="S3432"/>
      <c r="T3432"/>
    </row>
    <row r="3433" spans="1:20" ht="17.25" customHeight="1">
      <c r="A3433"/>
      <c r="B3433"/>
      <c r="P3433"/>
      <c r="R3433"/>
      <c r="S3433"/>
      <c r="T3433"/>
    </row>
    <row r="3434" spans="1:20" ht="17.25" customHeight="1">
      <c r="A3434"/>
      <c r="B3434"/>
      <c r="P3434"/>
      <c r="R3434"/>
      <c r="S3434"/>
      <c r="T3434"/>
    </row>
    <row r="3435" spans="1:20" ht="17.25" customHeight="1">
      <c r="A3435"/>
      <c r="B3435"/>
      <c r="P3435"/>
      <c r="R3435"/>
      <c r="S3435"/>
      <c r="T3435"/>
    </row>
    <row r="3436" spans="1:20" ht="17.25" customHeight="1">
      <c r="A3436"/>
      <c r="B3436"/>
      <c r="P3436"/>
      <c r="R3436"/>
      <c r="S3436"/>
      <c r="T3436"/>
    </row>
    <row r="3437" spans="1:20" ht="17.25" customHeight="1">
      <c r="A3437"/>
      <c r="B3437"/>
      <c r="P3437"/>
      <c r="R3437"/>
      <c r="S3437"/>
      <c r="T3437"/>
    </row>
    <row r="3438" spans="1:20" ht="17.25" customHeight="1">
      <c r="A3438"/>
      <c r="B3438"/>
      <c r="P3438"/>
      <c r="R3438"/>
      <c r="S3438"/>
      <c r="T3438"/>
    </row>
    <row r="3439" spans="1:20" ht="17.25" customHeight="1">
      <c r="A3439"/>
      <c r="B3439"/>
      <c r="P3439"/>
      <c r="R3439"/>
      <c r="S3439"/>
      <c r="T3439"/>
    </row>
    <row r="3440" spans="1:20" ht="17.25" customHeight="1">
      <c r="A3440"/>
      <c r="B3440"/>
      <c r="P3440"/>
      <c r="R3440"/>
      <c r="S3440"/>
      <c r="T3440"/>
    </row>
    <row r="3441" spans="1:20" ht="17.25" customHeight="1">
      <c r="A3441"/>
      <c r="B3441"/>
      <c r="P3441"/>
      <c r="R3441"/>
      <c r="S3441"/>
      <c r="T3441"/>
    </row>
    <row r="3442" spans="1:20" ht="17.25" customHeight="1">
      <c r="A3442"/>
      <c r="B3442"/>
      <c r="P3442"/>
      <c r="R3442"/>
      <c r="S3442"/>
      <c r="T3442"/>
    </row>
    <row r="3443" spans="1:20" ht="17.25" customHeight="1">
      <c r="A3443"/>
      <c r="B3443"/>
      <c r="P3443"/>
      <c r="R3443"/>
      <c r="S3443"/>
      <c r="T3443"/>
    </row>
    <row r="3444" spans="1:20" ht="17.25" customHeight="1">
      <c r="A3444"/>
      <c r="B3444"/>
      <c r="P3444"/>
      <c r="R3444"/>
      <c r="S3444"/>
      <c r="T3444"/>
    </row>
    <row r="3445" spans="1:20" ht="17.25" customHeight="1">
      <c r="A3445"/>
      <c r="B3445"/>
      <c r="P3445"/>
      <c r="R3445"/>
      <c r="S3445"/>
      <c r="T3445"/>
    </row>
    <row r="3446" spans="1:20" ht="17.25" customHeight="1">
      <c r="A3446"/>
      <c r="B3446"/>
      <c r="P3446"/>
      <c r="R3446"/>
      <c r="S3446"/>
      <c r="T3446"/>
    </row>
    <row r="3447" spans="1:20" ht="17.25" customHeight="1">
      <c r="A3447"/>
      <c r="B3447"/>
      <c r="P3447"/>
      <c r="R3447"/>
      <c r="S3447"/>
      <c r="T3447"/>
    </row>
    <row r="3448" spans="1:20" ht="17.25" customHeight="1">
      <c r="A3448"/>
      <c r="B3448"/>
      <c r="P3448"/>
      <c r="R3448"/>
      <c r="S3448"/>
      <c r="T3448"/>
    </row>
    <row r="3449" spans="1:20" ht="17.25" customHeight="1">
      <c r="A3449"/>
      <c r="B3449"/>
      <c r="P3449"/>
      <c r="R3449"/>
      <c r="S3449"/>
      <c r="T3449"/>
    </row>
    <row r="3450" spans="1:20" ht="17.25" customHeight="1">
      <c r="A3450"/>
      <c r="B3450"/>
      <c r="P3450"/>
      <c r="R3450"/>
      <c r="S3450"/>
      <c r="T3450"/>
    </row>
    <row r="3451" spans="1:20" ht="17.25" customHeight="1">
      <c r="A3451"/>
      <c r="B3451"/>
      <c r="P3451"/>
      <c r="R3451"/>
      <c r="S3451"/>
      <c r="T3451"/>
    </row>
    <row r="3452" spans="1:20" ht="17.25" customHeight="1">
      <c r="A3452"/>
      <c r="B3452"/>
      <c r="P3452"/>
      <c r="R3452"/>
      <c r="S3452"/>
      <c r="T3452"/>
    </row>
    <row r="3453" spans="1:20" ht="17.25" customHeight="1">
      <c r="A3453"/>
      <c r="B3453"/>
      <c r="P3453"/>
      <c r="R3453"/>
      <c r="S3453"/>
      <c r="T3453"/>
    </row>
    <row r="3454" spans="1:20" ht="17.25" customHeight="1">
      <c r="A3454"/>
      <c r="B3454"/>
      <c r="P3454"/>
      <c r="R3454"/>
      <c r="S3454"/>
      <c r="T3454"/>
    </row>
    <row r="3455" spans="1:20" ht="17.25" customHeight="1">
      <c r="A3455"/>
      <c r="B3455"/>
      <c r="P3455"/>
      <c r="R3455"/>
      <c r="S3455"/>
      <c r="T3455"/>
    </row>
    <row r="3456" spans="1:20" ht="17.25" customHeight="1">
      <c r="A3456"/>
      <c r="B3456"/>
      <c r="P3456"/>
      <c r="R3456"/>
      <c r="S3456"/>
      <c r="T3456"/>
    </row>
    <row r="3457" spans="1:20" ht="17.25" customHeight="1">
      <c r="A3457"/>
      <c r="B3457"/>
      <c r="P3457"/>
      <c r="R3457"/>
      <c r="S3457"/>
      <c r="T3457"/>
    </row>
    <row r="3458" spans="1:20" ht="17.25" customHeight="1">
      <c r="A3458"/>
      <c r="B3458"/>
      <c r="P3458"/>
      <c r="R3458"/>
      <c r="S3458"/>
      <c r="T3458"/>
    </row>
    <row r="3459" spans="1:20" ht="17.25" customHeight="1">
      <c r="A3459"/>
      <c r="B3459"/>
      <c r="P3459"/>
      <c r="R3459"/>
      <c r="S3459"/>
      <c r="T3459"/>
    </row>
    <row r="3460" spans="1:20" ht="17.25" customHeight="1">
      <c r="A3460"/>
      <c r="B3460"/>
      <c r="P3460"/>
      <c r="R3460"/>
      <c r="S3460"/>
      <c r="T3460"/>
    </row>
    <row r="3461" spans="1:20" ht="17.25" customHeight="1">
      <c r="A3461"/>
      <c r="B3461"/>
      <c r="P3461"/>
      <c r="R3461"/>
      <c r="S3461"/>
      <c r="T3461"/>
    </row>
    <row r="3462" spans="1:20" ht="17.25" customHeight="1">
      <c r="A3462"/>
      <c r="B3462"/>
      <c r="P3462"/>
      <c r="R3462"/>
      <c r="S3462"/>
      <c r="T3462"/>
    </row>
    <row r="3463" spans="1:20" ht="17.25" customHeight="1">
      <c r="A3463"/>
      <c r="B3463"/>
      <c r="P3463"/>
      <c r="R3463"/>
      <c r="S3463"/>
      <c r="T3463"/>
    </row>
    <row r="3464" spans="1:20" ht="17.25" customHeight="1">
      <c r="A3464"/>
      <c r="B3464"/>
      <c r="P3464"/>
      <c r="R3464"/>
      <c r="S3464"/>
      <c r="T3464"/>
    </row>
    <row r="3465" spans="1:20" ht="17.25" customHeight="1">
      <c r="A3465"/>
      <c r="B3465"/>
      <c r="P3465"/>
      <c r="R3465"/>
      <c r="S3465"/>
      <c r="T3465"/>
    </row>
    <row r="3466" spans="1:20" ht="17.25" customHeight="1">
      <c r="A3466"/>
      <c r="B3466"/>
      <c r="P3466"/>
      <c r="R3466"/>
      <c r="S3466"/>
      <c r="T3466"/>
    </row>
    <row r="3467" spans="1:20" ht="17.25" customHeight="1">
      <c r="A3467"/>
      <c r="B3467"/>
      <c r="P3467"/>
      <c r="R3467"/>
      <c r="S3467"/>
      <c r="T3467"/>
    </row>
    <row r="3468" spans="1:20" ht="17.25" customHeight="1">
      <c r="A3468"/>
      <c r="B3468"/>
      <c r="P3468"/>
      <c r="R3468"/>
      <c r="S3468"/>
      <c r="T3468"/>
    </row>
    <row r="3469" spans="1:20" ht="17.25" customHeight="1">
      <c r="A3469"/>
      <c r="B3469"/>
      <c r="P3469"/>
      <c r="R3469"/>
      <c r="S3469"/>
      <c r="T3469"/>
    </row>
    <row r="3470" spans="1:20" ht="17.25" customHeight="1">
      <c r="A3470"/>
      <c r="B3470"/>
      <c r="P3470"/>
      <c r="R3470"/>
      <c r="S3470"/>
      <c r="T3470"/>
    </row>
    <row r="3471" spans="1:20" ht="17.25" customHeight="1">
      <c r="A3471"/>
      <c r="B3471"/>
      <c r="P3471"/>
      <c r="R3471"/>
      <c r="S3471"/>
      <c r="T3471"/>
    </row>
    <row r="3472" spans="1:20" ht="17.25" customHeight="1">
      <c r="A3472"/>
      <c r="B3472"/>
      <c r="P3472"/>
      <c r="R3472"/>
      <c r="S3472"/>
      <c r="T3472"/>
    </row>
    <row r="3473" spans="1:20" ht="17.25" customHeight="1">
      <c r="A3473"/>
      <c r="B3473"/>
      <c r="P3473"/>
      <c r="R3473"/>
      <c r="S3473"/>
      <c r="T3473"/>
    </row>
    <row r="3474" spans="1:20" ht="17.25" customHeight="1">
      <c r="A3474"/>
      <c r="B3474"/>
      <c r="P3474"/>
      <c r="R3474"/>
      <c r="S3474"/>
      <c r="T3474"/>
    </row>
    <row r="3475" spans="1:20" ht="17.25" customHeight="1">
      <c r="A3475"/>
      <c r="B3475"/>
      <c r="P3475"/>
      <c r="R3475"/>
      <c r="S3475"/>
      <c r="T3475"/>
    </row>
    <row r="3476" spans="1:20" ht="17.25" customHeight="1">
      <c r="A3476"/>
      <c r="B3476"/>
      <c r="P3476"/>
      <c r="R3476"/>
      <c r="S3476"/>
      <c r="T3476"/>
    </row>
    <row r="3477" spans="1:20" ht="17.25" customHeight="1">
      <c r="A3477"/>
      <c r="B3477"/>
      <c r="P3477"/>
      <c r="R3477"/>
      <c r="S3477"/>
      <c r="T3477"/>
    </row>
    <row r="3478" spans="1:20" ht="17.25" customHeight="1">
      <c r="A3478"/>
      <c r="B3478"/>
      <c r="P3478"/>
      <c r="R3478"/>
      <c r="S3478"/>
      <c r="T3478"/>
    </row>
    <row r="3479" spans="1:20" ht="17.25" customHeight="1">
      <c r="A3479"/>
      <c r="B3479"/>
      <c r="P3479"/>
      <c r="R3479"/>
      <c r="S3479"/>
      <c r="T3479"/>
    </row>
    <row r="3480" spans="1:20" ht="17.25" customHeight="1">
      <c r="A3480"/>
      <c r="B3480"/>
      <c r="P3480"/>
      <c r="R3480"/>
      <c r="S3480"/>
      <c r="T3480"/>
    </row>
    <row r="3481" spans="1:20" ht="17.25" customHeight="1">
      <c r="A3481"/>
      <c r="B3481"/>
      <c r="P3481"/>
      <c r="R3481"/>
      <c r="S3481"/>
      <c r="T3481"/>
    </row>
    <row r="3482" spans="1:20" ht="17.25" customHeight="1">
      <c r="A3482"/>
      <c r="B3482"/>
      <c r="P3482"/>
      <c r="R3482"/>
      <c r="S3482"/>
      <c r="T3482"/>
    </row>
    <row r="3483" spans="1:20" ht="17.25" customHeight="1">
      <c r="A3483"/>
      <c r="B3483"/>
      <c r="P3483"/>
      <c r="R3483"/>
      <c r="S3483"/>
      <c r="T3483"/>
    </row>
    <row r="3484" spans="1:20" ht="17.25" customHeight="1">
      <c r="A3484"/>
      <c r="B3484"/>
      <c r="P3484"/>
      <c r="R3484"/>
      <c r="S3484"/>
      <c r="T3484"/>
    </row>
    <row r="3485" spans="1:20" ht="17.25" customHeight="1">
      <c r="A3485"/>
      <c r="B3485"/>
      <c r="P3485"/>
      <c r="R3485"/>
      <c r="S3485"/>
      <c r="T3485"/>
    </row>
    <row r="3486" spans="1:20" ht="17.25" customHeight="1">
      <c r="A3486"/>
      <c r="B3486"/>
      <c r="P3486"/>
      <c r="R3486"/>
      <c r="S3486"/>
      <c r="T3486"/>
    </row>
    <row r="3487" spans="1:20" ht="17.25" customHeight="1">
      <c r="A3487"/>
      <c r="B3487"/>
      <c r="P3487"/>
      <c r="R3487"/>
      <c r="S3487"/>
      <c r="T3487"/>
    </row>
    <row r="3488" spans="1:20" ht="17.25" customHeight="1">
      <c r="A3488"/>
      <c r="B3488"/>
      <c r="P3488"/>
      <c r="R3488"/>
      <c r="S3488"/>
      <c r="T3488"/>
    </row>
    <row r="3489" spans="1:20" ht="17.25" customHeight="1">
      <c r="A3489"/>
      <c r="B3489"/>
      <c r="P3489"/>
      <c r="R3489"/>
      <c r="S3489"/>
      <c r="T3489"/>
    </row>
    <row r="3490" spans="1:20" ht="17.25" customHeight="1">
      <c r="A3490"/>
      <c r="B3490"/>
      <c r="P3490"/>
      <c r="R3490"/>
      <c r="S3490"/>
      <c r="T3490"/>
    </row>
    <row r="3491" spans="1:20" ht="17.25" customHeight="1">
      <c r="A3491"/>
      <c r="B3491"/>
      <c r="P3491"/>
      <c r="R3491"/>
      <c r="S3491"/>
      <c r="T3491"/>
    </row>
    <row r="3492" spans="1:20" ht="17.25" customHeight="1">
      <c r="A3492"/>
      <c r="B3492"/>
      <c r="P3492"/>
      <c r="R3492"/>
      <c r="S3492"/>
      <c r="T3492"/>
    </row>
    <row r="3493" spans="1:20" ht="17.25" customHeight="1">
      <c r="A3493"/>
      <c r="B3493"/>
      <c r="P3493"/>
      <c r="R3493"/>
      <c r="S3493"/>
      <c r="T3493"/>
    </row>
    <row r="3494" spans="1:20" ht="17.25" customHeight="1">
      <c r="A3494"/>
      <c r="B3494"/>
      <c r="P3494"/>
      <c r="R3494"/>
      <c r="S3494"/>
      <c r="T3494"/>
    </row>
    <row r="3495" spans="1:20" ht="17.25" customHeight="1">
      <c r="A3495"/>
      <c r="B3495"/>
      <c r="P3495"/>
      <c r="R3495"/>
      <c r="S3495"/>
      <c r="T3495"/>
    </row>
    <row r="3496" spans="1:20" ht="17.25" customHeight="1">
      <c r="A3496"/>
      <c r="B3496"/>
      <c r="P3496"/>
      <c r="R3496"/>
      <c r="S3496"/>
      <c r="T3496"/>
    </row>
    <row r="3497" spans="1:20" ht="17.25" customHeight="1">
      <c r="A3497"/>
      <c r="B3497"/>
      <c r="P3497"/>
      <c r="R3497"/>
      <c r="S3497"/>
      <c r="T3497"/>
    </row>
    <row r="3498" spans="1:20" ht="17.25" customHeight="1">
      <c r="A3498"/>
      <c r="B3498"/>
      <c r="P3498"/>
      <c r="R3498"/>
      <c r="S3498"/>
      <c r="T3498"/>
    </row>
    <row r="3499" spans="1:20" ht="17.25" customHeight="1">
      <c r="A3499"/>
      <c r="B3499"/>
      <c r="P3499"/>
      <c r="R3499"/>
      <c r="S3499"/>
      <c r="T3499"/>
    </row>
    <row r="3500" spans="1:20" ht="17.25" customHeight="1">
      <c r="A3500"/>
      <c r="B3500"/>
      <c r="P3500"/>
      <c r="R3500"/>
      <c r="S3500"/>
      <c r="T3500"/>
    </row>
    <row r="3501" spans="1:20" ht="17.25" customHeight="1">
      <c r="A3501"/>
      <c r="B3501"/>
      <c r="P3501"/>
      <c r="R3501"/>
      <c r="S3501"/>
      <c r="T3501"/>
    </row>
    <row r="3502" spans="1:20" ht="17.25" customHeight="1">
      <c r="A3502"/>
      <c r="B3502"/>
      <c r="P3502"/>
      <c r="R3502"/>
      <c r="S3502"/>
      <c r="T3502"/>
    </row>
    <row r="3503" spans="1:20" ht="17.25" customHeight="1">
      <c r="A3503"/>
      <c r="B3503"/>
      <c r="P3503"/>
      <c r="R3503"/>
      <c r="S3503"/>
      <c r="T3503"/>
    </row>
    <row r="3504" spans="1:20" ht="17.25" customHeight="1">
      <c r="A3504"/>
      <c r="B3504"/>
      <c r="P3504"/>
      <c r="R3504"/>
      <c r="S3504"/>
      <c r="T3504"/>
    </row>
    <row r="3505" spans="1:20" ht="17.25" customHeight="1">
      <c r="A3505"/>
      <c r="B3505"/>
      <c r="P3505"/>
      <c r="R3505"/>
      <c r="S3505"/>
      <c r="T3505"/>
    </row>
    <row r="3506" spans="1:20" ht="17.25" customHeight="1">
      <c r="A3506"/>
      <c r="B3506"/>
      <c r="P3506"/>
      <c r="R3506"/>
      <c r="S3506"/>
      <c r="T3506"/>
    </row>
    <row r="3507" spans="1:20" ht="17.25" customHeight="1">
      <c r="A3507"/>
      <c r="B3507"/>
      <c r="P3507"/>
      <c r="R3507"/>
      <c r="S3507"/>
      <c r="T3507"/>
    </row>
    <row r="3508" spans="1:20" ht="17.25" customHeight="1">
      <c r="A3508"/>
      <c r="B3508"/>
      <c r="P3508"/>
      <c r="R3508"/>
      <c r="S3508"/>
      <c r="T3508"/>
    </row>
    <row r="3509" spans="1:20" ht="17.25" customHeight="1">
      <c r="A3509"/>
      <c r="B3509"/>
      <c r="P3509"/>
      <c r="R3509"/>
      <c r="S3509"/>
      <c r="T3509"/>
    </row>
    <row r="3510" spans="1:20" ht="17.25" customHeight="1">
      <c r="A3510"/>
      <c r="B3510"/>
      <c r="P3510"/>
      <c r="R3510"/>
      <c r="S3510"/>
      <c r="T3510"/>
    </row>
    <row r="3511" spans="1:20" ht="17.25" customHeight="1">
      <c r="A3511"/>
      <c r="B3511"/>
      <c r="P3511"/>
      <c r="R3511"/>
      <c r="S3511"/>
      <c r="T3511"/>
    </row>
    <row r="3512" spans="1:20" ht="17.25" customHeight="1">
      <c r="A3512"/>
      <c r="B3512"/>
      <c r="P3512"/>
      <c r="R3512"/>
      <c r="S3512"/>
      <c r="T3512"/>
    </row>
    <row r="3513" spans="1:20" ht="17.25" customHeight="1">
      <c r="A3513"/>
      <c r="B3513"/>
      <c r="P3513"/>
      <c r="R3513"/>
      <c r="S3513"/>
      <c r="T3513"/>
    </row>
    <row r="3514" spans="1:20" ht="17.25" customHeight="1">
      <c r="A3514"/>
      <c r="B3514"/>
      <c r="P3514"/>
      <c r="R3514"/>
      <c r="S3514"/>
      <c r="T3514"/>
    </row>
    <row r="3515" spans="1:20" ht="17.25" customHeight="1">
      <c r="A3515"/>
      <c r="B3515"/>
      <c r="P3515"/>
      <c r="R3515"/>
      <c r="S3515"/>
      <c r="T3515"/>
    </row>
    <row r="3516" spans="1:20" ht="17.25" customHeight="1">
      <c r="A3516"/>
      <c r="B3516"/>
      <c r="P3516"/>
      <c r="R3516"/>
      <c r="S3516"/>
      <c r="T3516"/>
    </row>
    <row r="3517" spans="1:20" ht="17.25" customHeight="1">
      <c r="A3517"/>
      <c r="B3517"/>
      <c r="P3517"/>
      <c r="R3517"/>
      <c r="S3517"/>
      <c r="T3517"/>
    </row>
    <row r="3518" spans="1:20" ht="17.25" customHeight="1">
      <c r="A3518"/>
      <c r="B3518"/>
      <c r="P3518"/>
      <c r="R3518"/>
      <c r="S3518"/>
      <c r="T3518"/>
    </row>
    <row r="3519" spans="1:20" ht="17.25" customHeight="1">
      <c r="A3519"/>
      <c r="B3519"/>
      <c r="P3519"/>
      <c r="R3519"/>
      <c r="S3519"/>
      <c r="T3519"/>
    </row>
    <row r="3520" spans="1:20" ht="17.25" customHeight="1">
      <c r="A3520"/>
      <c r="B3520"/>
      <c r="P3520"/>
      <c r="R3520"/>
      <c r="S3520"/>
      <c r="T3520"/>
    </row>
    <row r="3521" spans="1:20" ht="17.25" customHeight="1">
      <c r="A3521"/>
      <c r="B3521"/>
      <c r="P3521"/>
      <c r="R3521"/>
      <c r="S3521"/>
      <c r="T3521"/>
    </row>
    <row r="3522" spans="1:20" ht="17.25" customHeight="1">
      <c r="A3522"/>
      <c r="B3522"/>
      <c r="P3522"/>
      <c r="R3522"/>
      <c r="S3522"/>
      <c r="T3522"/>
    </row>
    <row r="3523" spans="1:20" ht="17.25" customHeight="1">
      <c r="A3523"/>
      <c r="B3523"/>
      <c r="P3523"/>
      <c r="R3523"/>
      <c r="S3523"/>
      <c r="T3523"/>
    </row>
    <row r="3524" spans="1:20" ht="17.25" customHeight="1">
      <c r="A3524"/>
      <c r="B3524"/>
      <c r="P3524"/>
      <c r="R3524"/>
      <c r="S3524"/>
      <c r="T3524"/>
    </row>
    <row r="3525" spans="1:20" ht="17.25" customHeight="1">
      <c r="A3525"/>
      <c r="B3525"/>
      <c r="P3525"/>
      <c r="R3525"/>
      <c r="S3525"/>
      <c r="T3525"/>
    </row>
    <row r="3526" spans="1:20" ht="17.25" customHeight="1">
      <c r="A3526"/>
      <c r="B3526"/>
      <c r="P3526"/>
      <c r="R3526"/>
      <c r="S3526"/>
      <c r="T3526"/>
    </row>
    <row r="3527" spans="1:20" ht="17.25" customHeight="1">
      <c r="A3527"/>
      <c r="B3527"/>
      <c r="P3527"/>
      <c r="R3527"/>
      <c r="S3527"/>
      <c r="T3527"/>
    </row>
    <row r="3528" spans="1:20" ht="17.25" customHeight="1">
      <c r="A3528"/>
      <c r="B3528"/>
      <c r="P3528"/>
      <c r="R3528"/>
      <c r="S3528"/>
      <c r="T3528"/>
    </row>
    <row r="3529" spans="1:20" ht="17.25" customHeight="1">
      <c r="A3529"/>
      <c r="B3529"/>
      <c r="P3529"/>
      <c r="R3529"/>
      <c r="S3529"/>
      <c r="T3529"/>
    </row>
    <row r="3530" spans="1:20" ht="17.25" customHeight="1">
      <c r="A3530"/>
      <c r="B3530"/>
      <c r="P3530"/>
      <c r="R3530"/>
      <c r="S3530"/>
      <c r="T3530"/>
    </row>
    <row r="3531" spans="1:20" ht="17.25" customHeight="1">
      <c r="A3531"/>
      <c r="B3531"/>
      <c r="P3531"/>
      <c r="R3531"/>
      <c r="S3531"/>
      <c r="T3531"/>
    </row>
    <row r="3532" spans="1:20" ht="17.25" customHeight="1">
      <c r="A3532"/>
      <c r="B3532"/>
      <c r="P3532"/>
      <c r="R3532"/>
      <c r="S3532"/>
      <c r="T3532"/>
    </row>
    <row r="3533" spans="1:20" ht="17.25" customHeight="1">
      <c r="A3533"/>
      <c r="B3533"/>
      <c r="P3533"/>
      <c r="R3533"/>
      <c r="S3533"/>
      <c r="T3533"/>
    </row>
    <row r="3534" spans="1:20" ht="17.25" customHeight="1">
      <c r="A3534"/>
      <c r="B3534"/>
      <c r="P3534"/>
      <c r="R3534"/>
      <c r="S3534"/>
      <c r="T3534"/>
    </row>
    <row r="3535" spans="1:20" ht="17.25" customHeight="1">
      <c r="A3535"/>
      <c r="B3535"/>
      <c r="P3535"/>
      <c r="R3535"/>
      <c r="S3535"/>
      <c r="T3535"/>
    </row>
    <row r="3536" spans="1:20" ht="17.25" customHeight="1">
      <c r="A3536"/>
      <c r="B3536"/>
      <c r="P3536"/>
      <c r="R3536"/>
      <c r="S3536"/>
      <c r="T3536"/>
    </row>
    <row r="3537" spans="1:20" ht="17.25" customHeight="1">
      <c r="A3537"/>
      <c r="B3537"/>
      <c r="P3537"/>
      <c r="R3537"/>
      <c r="S3537"/>
      <c r="T3537"/>
    </row>
    <row r="3538" spans="1:20" ht="17.25" customHeight="1">
      <c r="A3538"/>
      <c r="B3538"/>
      <c r="P3538"/>
      <c r="R3538"/>
      <c r="S3538"/>
      <c r="T3538"/>
    </row>
    <row r="3539" spans="1:20" ht="17.25" customHeight="1">
      <c r="A3539"/>
      <c r="B3539"/>
      <c r="P3539"/>
      <c r="R3539"/>
      <c r="S3539"/>
      <c r="T3539"/>
    </row>
    <row r="3540" spans="1:20" ht="17.25" customHeight="1">
      <c r="A3540"/>
      <c r="B3540"/>
      <c r="P3540"/>
      <c r="R3540"/>
      <c r="S3540"/>
      <c r="T3540"/>
    </row>
    <row r="3541" spans="1:20" ht="17.25" customHeight="1">
      <c r="A3541"/>
      <c r="B3541"/>
      <c r="P3541"/>
      <c r="R3541"/>
      <c r="S3541"/>
      <c r="T3541"/>
    </row>
    <row r="3542" spans="1:20" ht="17.25" customHeight="1">
      <c r="A3542"/>
      <c r="B3542"/>
      <c r="P3542"/>
      <c r="R3542"/>
      <c r="S3542"/>
      <c r="T3542"/>
    </row>
    <row r="3543" spans="1:20" ht="17.25" customHeight="1">
      <c r="A3543"/>
      <c r="B3543"/>
      <c r="P3543"/>
      <c r="R3543"/>
      <c r="S3543"/>
      <c r="T3543"/>
    </row>
    <row r="3544" spans="1:20" ht="17.25" customHeight="1">
      <c r="A3544"/>
      <c r="B3544"/>
      <c r="P3544"/>
      <c r="R3544"/>
      <c r="S3544"/>
      <c r="T3544"/>
    </row>
    <row r="3545" spans="1:20" ht="17.25" customHeight="1">
      <c r="A3545"/>
      <c r="B3545"/>
      <c r="P3545"/>
      <c r="R3545"/>
      <c r="S3545"/>
      <c r="T3545"/>
    </row>
    <row r="3546" spans="1:20" ht="17.25" customHeight="1">
      <c r="A3546"/>
      <c r="B3546"/>
      <c r="P3546"/>
      <c r="R3546"/>
      <c r="S3546"/>
      <c r="T3546"/>
    </row>
    <row r="3547" spans="1:20" ht="17.25" customHeight="1">
      <c r="A3547"/>
      <c r="B3547"/>
      <c r="P3547"/>
      <c r="R3547"/>
      <c r="S3547"/>
      <c r="T3547"/>
    </row>
    <row r="3548" spans="1:20" ht="17.25" customHeight="1">
      <c r="A3548"/>
      <c r="B3548"/>
      <c r="P3548"/>
      <c r="R3548"/>
      <c r="S3548"/>
      <c r="T3548"/>
    </row>
    <row r="3549" spans="1:20" ht="17.25" customHeight="1">
      <c r="A3549"/>
      <c r="B3549"/>
      <c r="P3549"/>
      <c r="R3549"/>
      <c r="S3549"/>
      <c r="T3549"/>
    </row>
    <row r="3550" spans="1:20" ht="17.25" customHeight="1">
      <c r="A3550"/>
      <c r="B3550"/>
      <c r="P3550"/>
      <c r="R3550"/>
      <c r="S3550"/>
      <c r="T3550"/>
    </row>
    <row r="3551" spans="1:20" ht="17.25" customHeight="1">
      <c r="A3551"/>
      <c r="B3551"/>
      <c r="P3551"/>
      <c r="R3551"/>
      <c r="S3551"/>
      <c r="T3551"/>
    </row>
    <row r="3552" spans="1:20" ht="17.25" customHeight="1">
      <c r="A3552"/>
      <c r="B3552"/>
      <c r="P3552"/>
      <c r="R3552"/>
      <c r="S3552"/>
      <c r="T3552"/>
    </row>
    <row r="3553" spans="1:20" ht="17.25" customHeight="1">
      <c r="A3553"/>
      <c r="B3553"/>
      <c r="P3553"/>
      <c r="R3553"/>
      <c r="S3553"/>
      <c r="T3553"/>
    </row>
    <row r="3554" spans="1:20" ht="17.25" customHeight="1">
      <c r="A3554"/>
      <c r="B3554"/>
      <c r="P3554"/>
      <c r="R3554"/>
      <c r="S3554"/>
      <c r="T3554"/>
    </row>
    <row r="3555" spans="1:20" ht="17.25" customHeight="1">
      <c r="A3555"/>
      <c r="B3555"/>
      <c r="P3555"/>
      <c r="R3555"/>
      <c r="S3555"/>
      <c r="T3555"/>
    </row>
    <row r="3556" spans="1:20" ht="17.25" customHeight="1">
      <c r="A3556"/>
      <c r="B3556"/>
      <c r="P3556"/>
      <c r="R3556"/>
      <c r="S3556"/>
      <c r="T3556"/>
    </row>
    <row r="3557" spans="1:20" ht="17.25" customHeight="1">
      <c r="A3557"/>
      <c r="B3557"/>
      <c r="P3557"/>
      <c r="R3557"/>
      <c r="S3557"/>
      <c r="T3557"/>
    </row>
    <row r="3558" spans="1:20" ht="17.25" customHeight="1">
      <c r="A3558"/>
      <c r="B3558"/>
      <c r="P3558"/>
      <c r="R3558"/>
      <c r="S3558"/>
      <c r="T3558"/>
    </row>
    <row r="3559" spans="1:20" ht="17.25" customHeight="1">
      <c r="A3559"/>
      <c r="B3559"/>
      <c r="P3559"/>
      <c r="R3559"/>
      <c r="S3559"/>
      <c r="T3559"/>
    </row>
    <row r="3560" spans="1:20" ht="17.25" customHeight="1">
      <c r="A3560"/>
      <c r="B3560"/>
      <c r="P3560"/>
      <c r="R3560"/>
      <c r="S3560"/>
      <c r="T3560"/>
    </row>
    <row r="3561" spans="1:20" ht="17.25" customHeight="1">
      <c r="A3561"/>
      <c r="B3561"/>
      <c r="P3561"/>
      <c r="R3561"/>
      <c r="S3561"/>
      <c r="T3561"/>
    </row>
    <row r="3562" spans="1:20" ht="17.25" customHeight="1">
      <c r="A3562"/>
      <c r="B3562"/>
      <c r="P3562"/>
      <c r="R3562"/>
      <c r="S3562"/>
      <c r="T3562"/>
    </row>
    <row r="3563" spans="1:20" ht="17.25" customHeight="1">
      <c r="A3563"/>
      <c r="B3563"/>
      <c r="P3563"/>
      <c r="R3563"/>
      <c r="S3563"/>
      <c r="T3563"/>
    </row>
    <row r="3564" spans="1:20" ht="17.25" customHeight="1">
      <c r="A3564"/>
      <c r="B3564"/>
      <c r="P3564"/>
      <c r="R3564"/>
      <c r="S3564"/>
      <c r="T3564"/>
    </row>
    <row r="3565" spans="1:20" ht="17.25" customHeight="1">
      <c r="A3565"/>
      <c r="B3565"/>
      <c r="P3565"/>
      <c r="R3565"/>
      <c r="S3565"/>
      <c r="T3565"/>
    </row>
    <row r="3566" spans="1:20" ht="17.25" customHeight="1">
      <c r="A3566"/>
      <c r="B3566"/>
      <c r="P3566"/>
      <c r="R3566"/>
      <c r="S3566"/>
      <c r="T3566"/>
    </row>
    <row r="3567" spans="1:20" ht="17.25" customHeight="1">
      <c r="A3567"/>
      <c r="B3567"/>
      <c r="P3567"/>
      <c r="R3567"/>
      <c r="S3567"/>
      <c r="T3567"/>
    </row>
    <row r="3568" spans="1:20" ht="17.25" customHeight="1">
      <c r="A3568"/>
      <c r="B3568"/>
      <c r="P3568"/>
      <c r="R3568"/>
      <c r="S3568"/>
      <c r="T3568"/>
    </row>
    <row r="3569" spans="1:20" ht="17.25" customHeight="1">
      <c r="A3569"/>
      <c r="B3569"/>
      <c r="P3569"/>
      <c r="R3569"/>
      <c r="S3569"/>
      <c r="T3569"/>
    </row>
    <row r="3570" spans="1:20" ht="17.25" customHeight="1">
      <c r="A3570"/>
      <c r="B3570"/>
      <c r="P3570"/>
      <c r="R3570"/>
      <c r="S3570"/>
      <c r="T3570"/>
    </row>
    <row r="3571" spans="1:20" ht="17.25" customHeight="1">
      <c r="A3571"/>
      <c r="B3571"/>
      <c r="P3571"/>
      <c r="R3571"/>
      <c r="S3571"/>
      <c r="T3571"/>
    </row>
    <row r="3572" spans="1:20" ht="17.25" customHeight="1">
      <c r="A3572"/>
      <c r="B3572"/>
      <c r="P3572"/>
      <c r="R3572"/>
      <c r="S3572"/>
      <c r="T3572"/>
    </row>
    <row r="3573" spans="1:20" ht="17.25" customHeight="1">
      <c r="A3573"/>
      <c r="B3573"/>
      <c r="P3573"/>
      <c r="R3573"/>
      <c r="S3573"/>
      <c r="T3573"/>
    </row>
    <row r="3574" spans="1:20" ht="17.25" customHeight="1">
      <c r="A3574"/>
      <c r="B3574"/>
      <c r="P3574"/>
      <c r="R3574"/>
      <c r="S3574"/>
      <c r="T3574"/>
    </row>
    <row r="3575" spans="1:20" ht="17.25" customHeight="1">
      <c r="A3575"/>
      <c r="B3575"/>
      <c r="P3575"/>
      <c r="R3575"/>
      <c r="S3575"/>
      <c r="T3575"/>
    </row>
    <row r="3576" spans="1:20" ht="17.25" customHeight="1">
      <c r="A3576"/>
      <c r="B3576"/>
      <c r="P3576"/>
      <c r="R3576"/>
      <c r="S3576"/>
      <c r="T3576"/>
    </row>
    <row r="3577" spans="1:20" ht="17.25" customHeight="1">
      <c r="A3577"/>
      <c r="B3577"/>
      <c r="P3577"/>
      <c r="R3577"/>
      <c r="S3577"/>
      <c r="T3577"/>
    </row>
    <row r="3578" spans="1:20" ht="17.25" customHeight="1">
      <c r="A3578"/>
      <c r="B3578"/>
      <c r="P3578"/>
      <c r="R3578"/>
      <c r="S3578"/>
      <c r="T3578"/>
    </row>
    <row r="3579" spans="1:20" ht="17.25" customHeight="1">
      <c r="A3579"/>
      <c r="B3579"/>
      <c r="P3579"/>
      <c r="R3579"/>
      <c r="S3579"/>
      <c r="T3579"/>
    </row>
    <row r="3580" spans="1:20" ht="17.25" customHeight="1">
      <c r="A3580"/>
      <c r="B3580"/>
      <c r="P3580"/>
      <c r="R3580"/>
      <c r="S3580"/>
      <c r="T3580"/>
    </row>
    <row r="3581" spans="1:20" ht="17.25" customHeight="1">
      <c r="A3581"/>
      <c r="B3581"/>
      <c r="P3581"/>
      <c r="R3581"/>
      <c r="S3581"/>
      <c r="T3581"/>
    </row>
    <row r="3582" spans="1:20" ht="17.25" customHeight="1">
      <c r="A3582"/>
      <c r="B3582"/>
      <c r="P3582"/>
      <c r="R3582"/>
      <c r="S3582"/>
      <c r="T3582"/>
    </row>
    <row r="3583" spans="1:20" ht="17.25" customHeight="1">
      <c r="A3583"/>
      <c r="B3583"/>
      <c r="P3583"/>
      <c r="R3583"/>
      <c r="S3583"/>
      <c r="T3583"/>
    </row>
    <row r="3584" spans="1:20" ht="17.25" customHeight="1">
      <c r="A3584"/>
      <c r="B3584"/>
      <c r="P3584"/>
      <c r="R3584"/>
      <c r="S3584"/>
      <c r="T3584"/>
    </row>
    <row r="3585" spans="1:20" ht="17.25" customHeight="1">
      <c r="A3585"/>
      <c r="B3585"/>
      <c r="P3585"/>
      <c r="R3585"/>
      <c r="S3585"/>
      <c r="T3585"/>
    </row>
    <row r="3586" spans="1:20" ht="17.25" customHeight="1">
      <c r="A3586"/>
      <c r="B3586"/>
      <c r="P3586"/>
      <c r="R3586"/>
      <c r="S3586"/>
      <c r="T3586"/>
    </row>
    <row r="3587" spans="1:20" ht="17.25" customHeight="1">
      <c r="A3587"/>
      <c r="B3587"/>
      <c r="P3587"/>
      <c r="R3587"/>
      <c r="S3587"/>
      <c r="T3587"/>
    </row>
    <row r="3588" spans="1:20" ht="17.25" customHeight="1">
      <c r="A3588"/>
      <c r="B3588"/>
      <c r="P3588"/>
      <c r="R3588"/>
      <c r="S3588"/>
      <c r="T3588"/>
    </row>
    <row r="3589" spans="1:20" ht="17.25" customHeight="1">
      <c r="A3589"/>
      <c r="B3589"/>
      <c r="P3589"/>
      <c r="R3589"/>
      <c r="S3589"/>
      <c r="T3589"/>
    </row>
    <row r="3590" spans="1:20" ht="17.25" customHeight="1">
      <c r="A3590"/>
      <c r="B3590"/>
      <c r="P3590"/>
      <c r="R3590"/>
      <c r="S3590"/>
      <c r="T3590"/>
    </row>
    <row r="3591" spans="1:20" ht="17.25" customHeight="1">
      <c r="A3591"/>
      <c r="B3591"/>
      <c r="P3591"/>
      <c r="R3591"/>
      <c r="S3591"/>
      <c r="T3591"/>
    </row>
    <row r="3592" spans="1:20" ht="17.25" customHeight="1">
      <c r="A3592"/>
      <c r="B3592"/>
      <c r="P3592"/>
      <c r="R3592"/>
      <c r="S3592"/>
      <c r="T3592"/>
    </row>
    <row r="3593" spans="1:20" ht="17.25" customHeight="1">
      <c r="A3593"/>
      <c r="B3593"/>
      <c r="P3593"/>
      <c r="R3593"/>
      <c r="S3593"/>
      <c r="T3593"/>
    </row>
    <row r="3594" spans="1:20" ht="17.25" customHeight="1">
      <c r="A3594"/>
      <c r="B3594"/>
      <c r="P3594"/>
      <c r="R3594"/>
      <c r="S3594"/>
      <c r="T3594"/>
    </row>
    <row r="3595" spans="1:20" ht="17.25" customHeight="1">
      <c r="A3595"/>
      <c r="B3595"/>
      <c r="P3595"/>
      <c r="R3595"/>
      <c r="S3595"/>
      <c r="T3595"/>
    </row>
    <row r="3596" spans="1:20" ht="17.25" customHeight="1">
      <c r="A3596"/>
      <c r="B3596"/>
      <c r="P3596"/>
      <c r="R3596"/>
      <c r="S3596"/>
      <c r="T3596"/>
    </row>
    <row r="3597" spans="1:20" ht="17.25" customHeight="1">
      <c r="A3597"/>
      <c r="B3597"/>
      <c r="P3597"/>
      <c r="R3597"/>
      <c r="S3597"/>
      <c r="T3597"/>
    </row>
    <row r="3598" spans="1:20" ht="17.25" customHeight="1">
      <c r="A3598"/>
      <c r="B3598"/>
      <c r="P3598"/>
      <c r="R3598"/>
      <c r="S3598"/>
      <c r="T3598"/>
    </row>
    <row r="3599" spans="1:20" ht="17.25" customHeight="1">
      <c r="A3599"/>
      <c r="B3599"/>
      <c r="P3599"/>
      <c r="R3599"/>
      <c r="S3599"/>
      <c r="T3599"/>
    </row>
    <row r="3600" spans="1:20" ht="17.25" customHeight="1">
      <c r="A3600"/>
      <c r="B3600"/>
      <c r="P3600"/>
      <c r="R3600"/>
      <c r="S3600"/>
      <c r="T3600"/>
    </row>
    <row r="3601" spans="1:20" ht="17.25" customHeight="1">
      <c r="A3601"/>
      <c r="B3601"/>
      <c r="P3601"/>
      <c r="R3601"/>
      <c r="S3601"/>
      <c r="T3601"/>
    </row>
    <row r="3602" spans="1:20" ht="17.25" customHeight="1">
      <c r="A3602"/>
      <c r="B3602"/>
      <c r="P3602"/>
      <c r="R3602"/>
      <c r="S3602"/>
      <c r="T3602"/>
    </row>
    <row r="3603" spans="1:20" ht="17.25" customHeight="1">
      <c r="A3603"/>
      <c r="B3603"/>
      <c r="P3603"/>
      <c r="R3603"/>
      <c r="S3603"/>
      <c r="T3603"/>
    </row>
    <row r="3604" spans="1:20" ht="17.25" customHeight="1">
      <c r="A3604"/>
      <c r="B3604"/>
      <c r="P3604"/>
      <c r="R3604"/>
      <c r="S3604"/>
      <c r="T3604"/>
    </row>
    <row r="3605" spans="1:20" ht="17.25" customHeight="1">
      <c r="A3605"/>
      <c r="B3605"/>
      <c r="P3605"/>
      <c r="R3605"/>
      <c r="S3605"/>
      <c r="T3605"/>
    </row>
    <row r="3606" spans="1:20" ht="17.25" customHeight="1">
      <c r="A3606"/>
      <c r="B3606"/>
      <c r="P3606"/>
      <c r="R3606"/>
      <c r="S3606"/>
      <c r="T3606"/>
    </row>
    <row r="3607" spans="1:20" ht="17.25" customHeight="1">
      <c r="A3607"/>
      <c r="B3607"/>
      <c r="P3607"/>
      <c r="R3607"/>
      <c r="S3607"/>
      <c r="T3607"/>
    </row>
    <row r="3608" spans="1:20" ht="17.25" customHeight="1">
      <c r="A3608"/>
      <c r="B3608"/>
      <c r="P3608"/>
      <c r="R3608"/>
      <c r="S3608"/>
      <c r="T3608"/>
    </row>
    <row r="3609" spans="1:20" ht="17.25" customHeight="1">
      <c r="A3609"/>
      <c r="B3609"/>
      <c r="P3609"/>
      <c r="R3609"/>
      <c r="S3609"/>
      <c r="T3609"/>
    </row>
    <row r="3610" spans="1:20" ht="17.25" customHeight="1">
      <c r="A3610"/>
      <c r="B3610"/>
      <c r="P3610"/>
      <c r="R3610"/>
      <c r="S3610"/>
      <c r="T3610"/>
    </row>
    <row r="3611" spans="1:20" ht="17.25" customHeight="1">
      <c r="A3611"/>
      <c r="B3611"/>
      <c r="P3611"/>
      <c r="R3611"/>
      <c r="S3611"/>
      <c r="T3611"/>
    </row>
    <row r="3612" spans="1:20" ht="17.25" customHeight="1">
      <c r="A3612"/>
      <c r="B3612"/>
      <c r="P3612"/>
      <c r="R3612"/>
      <c r="S3612"/>
      <c r="T3612"/>
    </row>
    <row r="3613" spans="1:20" ht="17.25" customHeight="1">
      <c r="A3613"/>
      <c r="B3613"/>
      <c r="P3613"/>
      <c r="R3613"/>
      <c r="S3613"/>
      <c r="T3613"/>
    </row>
    <row r="3614" spans="1:20" ht="17.25" customHeight="1">
      <c r="A3614"/>
      <c r="B3614"/>
      <c r="P3614"/>
      <c r="R3614"/>
      <c r="S3614"/>
      <c r="T3614"/>
    </row>
    <row r="3615" spans="1:20" ht="17.25" customHeight="1">
      <c r="A3615"/>
      <c r="B3615"/>
      <c r="P3615"/>
      <c r="R3615"/>
      <c r="S3615"/>
      <c r="T3615"/>
    </row>
    <row r="3616" spans="1:20" ht="17.25" customHeight="1">
      <c r="A3616"/>
      <c r="B3616"/>
      <c r="P3616"/>
      <c r="R3616"/>
      <c r="S3616"/>
      <c r="T3616"/>
    </row>
    <row r="3617" spans="1:20" ht="17.25" customHeight="1">
      <c r="A3617"/>
      <c r="B3617"/>
      <c r="P3617"/>
      <c r="R3617"/>
      <c r="S3617"/>
      <c r="T3617"/>
    </row>
    <row r="3618" spans="1:20" ht="17.25" customHeight="1">
      <c r="A3618"/>
      <c r="B3618"/>
      <c r="P3618"/>
      <c r="R3618"/>
      <c r="S3618"/>
      <c r="T3618"/>
    </row>
    <row r="3619" spans="1:20" ht="17.25" customHeight="1">
      <c r="A3619"/>
      <c r="B3619"/>
      <c r="P3619"/>
      <c r="R3619"/>
      <c r="S3619"/>
      <c r="T3619"/>
    </row>
    <row r="3620" spans="1:20" ht="17.25" customHeight="1">
      <c r="A3620"/>
      <c r="B3620"/>
      <c r="P3620"/>
      <c r="R3620"/>
      <c r="S3620"/>
      <c r="T3620"/>
    </row>
    <row r="3621" spans="1:20" ht="17.25" customHeight="1">
      <c r="A3621"/>
      <c r="B3621"/>
      <c r="P3621"/>
      <c r="R3621"/>
      <c r="S3621"/>
      <c r="T3621"/>
    </row>
    <row r="3622" spans="1:20" ht="17.25" customHeight="1">
      <c r="A3622"/>
      <c r="B3622"/>
      <c r="P3622"/>
      <c r="R3622"/>
      <c r="S3622"/>
      <c r="T3622"/>
    </row>
    <row r="3623" spans="1:20" ht="17.25" customHeight="1">
      <c r="A3623"/>
      <c r="B3623"/>
      <c r="P3623"/>
      <c r="R3623"/>
      <c r="S3623"/>
      <c r="T3623"/>
    </row>
    <row r="3624" spans="1:20" ht="17.25" customHeight="1">
      <c r="A3624"/>
      <c r="B3624"/>
      <c r="P3624"/>
      <c r="R3624"/>
      <c r="S3624"/>
      <c r="T3624"/>
    </row>
    <row r="3625" spans="1:20" ht="17.25" customHeight="1">
      <c r="A3625"/>
      <c r="B3625"/>
      <c r="P3625"/>
      <c r="R3625"/>
      <c r="S3625"/>
      <c r="T3625"/>
    </row>
    <row r="3626" spans="1:20" ht="17.25" customHeight="1">
      <c r="A3626"/>
      <c r="B3626"/>
      <c r="P3626"/>
      <c r="R3626"/>
      <c r="S3626"/>
      <c r="T3626"/>
    </row>
    <row r="3627" spans="1:20" ht="17.25" customHeight="1">
      <c r="A3627"/>
      <c r="B3627"/>
      <c r="P3627"/>
      <c r="R3627"/>
      <c r="S3627"/>
      <c r="T3627"/>
    </row>
    <row r="3628" spans="1:20" ht="17.25" customHeight="1">
      <c r="A3628"/>
      <c r="B3628"/>
      <c r="P3628"/>
      <c r="R3628"/>
      <c r="S3628"/>
      <c r="T3628"/>
    </row>
    <row r="3629" spans="1:20" ht="17.25" customHeight="1">
      <c r="A3629"/>
      <c r="B3629"/>
      <c r="P3629"/>
      <c r="R3629"/>
      <c r="S3629"/>
      <c r="T3629"/>
    </row>
    <row r="3630" spans="1:20" ht="17.25" customHeight="1">
      <c r="A3630"/>
      <c r="B3630"/>
      <c r="P3630"/>
      <c r="R3630"/>
      <c r="S3630"/>
      <c r="T3630"/>
    </row>
    <row r="3631" spans="1:20" ht="17.25" customHeight="1">
      <c r="A3631"/>
      <c r="B3631"/>
      <c r="P3631"/>
      <c r="R3631"/>
      <c r="S3631"/>
      <c r="T3631"/>
    </row>
    <row r="3632" spans="1:20" ht="17.25" customHeight="1">
      <c r="A3632"/>
      <c r="B3632"/>
      <c r="P3632"/>
      <c r="R3632"/>
      <c r="S3632"/>
      <c r="T3632"/>
    </row>
    <row r="3633" spans="1:20" ht="17.25" customHeight="1">
      <c r="A3633"/>
      <c r="B3633"/>
      <c r="P3633"/>
      <c r="R3633"/>
      <c r="S3633"/>
      <c r="T3633"/>
    </row>
    <row r="3634" spans="1:20" ht="17.25" customHeight="1">
      <c r="A3634"/>
      <c r="B3634"/>
      <c r="P3634"/>
      <c r="R3634"/>
      <c r="S3634"/>
      <c r="T3634"/>
    </row>
    <row r="3635" spans="1:20" ht="17.25" customHeight="1">
      <c r="A3635"/>
      <c r="B3635"/>
      <c r="P3635"/>
      <c r="R3635"/>
      <c r="S3635"/>
      <c r="T3635"/>
    </row>
    <row r="3636" spans="1:20" ht="17.25" customHeight="1">
      <c r="A3636"/>
      <c r="B3636"/>
      <c r="P3636"/>
      <c r="R3636"/>
      <c r="S3636"/>
      <c r="T3636"/>
    </row>
    <row r="3637" spans="1:20" ht="17.25" customHeight="1">
      <c r="A3637"/>
      <c r="B3637"/>
      <c r="P3637"/>
      <c r="R3637"/>
      <c r="S3637"/>
      <c r="T3637"/>
    </row>
    <row r="3638" spans="1:20" ht="17.25" customHeight="1">
      <c r="A3638"/>
      <c r="B3638"/>
      <c r="P3638"/>
      <c r="R3638"/>
      <c r="S3638"/>
      <c r="T3638"/>
    </row>
    <row r="3639" spans="1:20" ht="17.25" customHeight="1">
      <c r="A3639"/>
      <c r="B3639"/>
      <c r="P3639"/>
      <c r="R3639"/>
      <c r="S3639"/>
      <c r="T3639"/>
    </row>
    <row r="3640" spans="1:20" ht="17.25" customHeight="1">
      <c r="A3640"/>
      <c r="B3640"/>
      <c r="P3640"/>
      <c r="R3640"/>
      <c r="S3640"/>
      <c r="T3640"/>
    </row>
    <row r="3641" spans="1:20" ht="17.25" customHeight="1">
      <c r="A3641"/>
      <c r="B3641"/>
      <c r="P3641"/>
      <c r="R3641"/>
      <c r="S3641"/>
      <c r="T3641"/>
    </row>
    <row r="3642" spans="1:20" ht="17.25" customHeight="1">
      <c r="A3642"/>
      <c r="B3642"/>
      <c r="P3642"/>
      <c r="R3642"/>
      <c r="S3642"/>
      <c r="T3642"/>
    </row>
    <row r="3643" spans="1:20" ht="17.25" customHeight="1">
      <c r="A3643"/>
      <c r="B3643"/>
      <c r="P3643"/>
      <c r="R3643"/>
      <c r="S3643"/>
      <c r="T3643"/>
    </row>
    <row r="3644" spans="1:20" ht="17.25" customHeight="1">
      <c r="A3644"/>
      <c r="B3644"/>
      <c r="P3644"/>
      <c r="R3644"/>
      <c r="S3644"/>
      <c r="T3644"/>
    </row>
    <row r="3645" spans="1:20" ht="17.25" customHeight="1">
      <c r="A3645"/>
      <c r="B3645"/>
      <c r="P3645"/>
      <c r="R3645"/>
      <c r="S3645"/>
      <c r="T3645"/>
    </row>
    <row r="3646" spans="1:20" ht="17.25" customHeight="1">
      <c r="A3646"/>
      <c r="B3646"/>
      <c r="P3646"/>
      <c r="R3646"/>
      <c r="S3646"/>
      <c r="T3646"/>
    </row>
    <row r="3647" spans="1:20" ht="17.25" customHeight="1">
      <c r="A3647"/>
      <c r="B3647"/>
      <c r="P3647"/>
      <c r="R3647"/>
      <c r="S3647"/>
      <c r="T3647"/>
    </row>
    <row r="3648" spans="1:20" ht="17.25" customHeight="1">
      <c r="A3648"/>
      <c r="B3648"/>
      <c r="P3648"/>
      <c r="R3648"/>
      <c r="S3648"/>
      <c r="T3648"/>
    </row>
    <row r="3649" spans="1:20" ht="17.25" customHeight="1">
      <c r="A3649"/>
      <c r="B3649"/>
      <c r="P3649"/>
      <c r="R3649"/>
      <c r="S3649"/>
      <c r="T3649"/>
    </row>
    <row r="3650" spans="1:20" ht="17.25" customHeight="1">
      <c r="A3650"/>
      <c r="B3650"/>
      <c r="P3650"/>
      <c r="R3650"/>
      <c r="S3650"/>
      <c r="T3650"/>
    </row>
    <row r="3651" spans="1:20" ht="17.25" customHeight="1">
      <c r="A3651"/>
      <c r="B3651"/>
      <c r="P3651"/>
      <c r="R3651"/>
      <c r="S3651"/>
      <c r="T3651"/>
    </row>
    <row r="3652" spans="1:20" ht="17.25" customHeight="1">
      <c r="A3652"/>
      <c r="B3652"/>
      <c r="P3652"/>
      <c r="R3652"/>
      <c r="S3652"/>
      <c r="T3652"/>
    </row>
    <row r="3653" spans="1:20" ht="17.25" customHeight="1">
      <c r="A3653"/>
      <c r="B3653"/>
      <c r="P3653"/>
      <c r="R3653"/>
      <c r="S3653"/>
      <c r="T3653"/>
    </row>
    <row r="3654" spans="1:20" ht="17.25" customHeight="1">
      <c r="A3654"/>
      <c r="B3654"/>
      <c r="P3654"/>
      <c r="R3654"/>
      <c r="S3654"/>
      <c r="T3654"/>
    </row>
    <row r="3655" spans="1:20" ht="17.25" customHeight="1">
      <c r="A3655"/>
      <c r="B3655"/>
      <c r="P3655"/>
      <c r="R3655"/>
      <c r="S3655"/>
      <c r="T3655"/>
    </row>
    <row r="3656" spans="1:20" ht="17.25" customHeight="1">
      <c r="A3656"/>
      <c r="B3656"/>
      <c r="P3656"/>
      <c r="R3656"/>
      <c r="S3656"/>
      <c r="T3656"/>
    </row>
    <row r="3657" spans="1:20" ht="17.25" customHeight="1">
      <c r="A3657"/>
      <c r="B3657"/>
      <c r="P3657"/>
      <c r="R3657"/>
      <c r="S3657"/>
      <c r="T3657"/>
    </row>
    <row r="3658" spans="1:20" ht="17.25" customHeight="1">
      <c r="A3658"/>
      <c r="B3658"/>
      <c r="P3658"/>
      <c r="R3658"/>
      <c r="S3658"/>
      <c r="T3658"/>
    </row>
    <row r="3659" spans="1:20" ht="17.25" customHeight="1">
      <c r="A3659"/>
      <c r="B3659"/>
      <c r="P3659"/>
      <c r="R3659"/>
      <c r="S3659"/>
      <c r="T3659"/>
    </row>
    <row r="3660" spans="1:20" ht="17.25" customHeight="1">
      <c r="A3660"/>
      <c r="B3660"/>
      <c r="P3660"/>
      <c r="R3660"/>
      <c r="S3660"/>
      <c r="T3660"/>
    </row>
    <row r="3661" spans="1:20" ht="17.25" customHeight="1">
      <c r="A3661"/>
      <c r="B3661"/>
      <c r="P3661"/>
      <c r="R3661"/>
      <c r="S3661"/>
      <c r="T3661"/>
    </row>
    <row r="3662" spans="1:20" ht="17.25" customHeight="1">
      <c r="A3662"/>
      <c r="B3662"/>
      <c r="P3662"/>
      <c r="R3662"/>
      <c r="S3662"/>
      <c r="T3662"/>
    </row>
    <row r="3663" spans="1:20" ht="17.25" customHeight="1">
      <c r="A3663"/>
      <c r="B3663"/>
      <c r="P3663"/>
      <c r="R3663"/>
      <c r="S3663"/>
      <c r="T3663"/>
    </row>
    <row r="3664" spans="1:20" ht="17.25" customHeight="1">
      <c r="A3664"/>
      <c r="B3664"/>
      <c r="P3664"/>
      <c r="R3664"/>
      <c r="S3664"/>
      <c r="T3664"/>
    </row>
    <row r="3665" spans="1:20" ht="17.25" customHeight="1">
      <c r="A3665"/>
      <c r="B3665"/>
      <c r="P3665"/>
      <c r="R3665"/>
      <c r="S3665"/>
      <c r="T3665"/>
    </row>
    <row r="3666" spans="1:20" ht="17.25" customHeight="1">
      <c r="A3666"/>
      <c r="B3666"/>
      <c r="P3666"/>
      <c r="R3666"/>
      <c r="S3666"/>
      <c r="T3666"/>
    </row>
    <row r="3667" spans="1:20" ht="17.25" customHeight="1">
      <c r="A3667"/>
      <c r="B3667"/>
      <c r="P3667"/>
      <c r="R3667"/>
      <c r="S3667"/>
      <c r="T3667"/>
    </row>
    <row r="3668" spans="1:20" ht="17.25" customHeight="1">
      <c r="A3668"/>
      <c r="B3668"/>
      <c r="P3668"/>
      <c r="R3668"/>
      <c r="S3668"/>
      <c r="T3668"/>
    </row>
    <row r="3669" spans="1:20" ht="17.25" customHeight="1">
      <c r="A3669"/>
      <c r="B3669"/>
      <c r="P3669"/>
      <c r="R3669"/>
      <c r="S3669"/>
      <c r="T3669"/>
    </row>
    <row r="3670" spans="1:20" ht="17.25" customHeight="1">
      <c r="A3670"/>
      <c r="B3670"/>
      <c r="P3670"/>
      <c r="R3670"/>
      <c r="S3670"/>
      <c r="T3670"/>
    </row>
    <row r="3671" spans="1:20" ht="17.25" customHeight="1">
      <c r="A3671"/>
      <c r="B3671"/>
      <c r="P3671"/>
      <c r="R3671"/>
      <c r="S3671"/>
      <c r="T3671"/>
    </row>
    <row r="3672" spans="1:20" ht="17.25" customHeight="1">
      <c r="A3672"/>
      <c r="B3672"/>
      <c r="P3672"/>
      <c r="R3672"/>
      <c r="S3672"/>
      <c r="T3672"/>
    </row>
    <row r="3673" spans="1:20" ht="17.25" customHeight="1">
      <c r="A3673"/>
      <c r="B3673"/>
      <c r="P3673"/>
      <c r="R3673"/>
      <c r="S3673"/>
      <c r="T3673"/>
    </row>
    <row r="3674" spans="1:20" ht="17.25" customHeight="1">
      <c r="A3674"/>
      <c r="B3674"/>
      <c r="P3674"/>
      <c r="R3674"/>
      <c r="S3674"/>
      <c r="T3674"/>
    </row>
    <row r="3675" spans="1:20" ht="17.25" customHeight="1">
      <c r="A3675"/>
      <c r="B3675"/>
      <c r="P3675"/>
      <c r="R3675"/>
      <c r="S3675"/>
      <c r="T3675"/>
    </row>
    <row r="3676" spans="1:20" ht="17.25" customHeight="1">
      <c r="A3676"/>
      <c r="B3676"/>
      <c r="P3676"/>
      <c r="R3676"/>
      <c r="S3676"/>
      <c r="T3676"/>
    </row>
    <row r="3677" spans="1:20" ht="17.25" customHeight="1">
      <c r="A3677"/>
      <c r="B3677"/>
      <c r="P3677"/>
      <c r="R3677"/>
      <c r="S3677"/>
      <c r="T3677"/>
    </row>
    <row r="3678" spans="1:20" ht="17.25" customHeight="1">
      <c r="A3678"/>
      <c r="B3678"/>
      <c r="P3678"/>
      <c r="R3678"/>
      <c r="S3678"/>
      <c r="T3678"/>
    </row>
    <row r="3679" spans="1:20" ht="17.25" customHeight="1">
      <c r="A3679"/>
      <c r="B3679"/>
      <c r="P3679"/>
      <c r="R3679"/>
      <c r="S3679"/>
      <c r="T3679"/>
    </row>
    <row r="3680" spans="1:20" ht="17.25" customHeight="1">
      <c r="A3680"/>
      <c r="B3680"/>
      <c r="P3680"/>
      <c r="R3680"/>
      <c r="S3680"/>
      <c r="T3680"/>
    </row>
    <row r="3681" spans="1:20" ht="17.25" customHeight="1">
      <c r="A3681"/>
      <c r="B3681"/>
      <c r="P3681"/>
      <c r="R3681"/>
      <c r="S3681"/>
      <c r="T3681"/>
    </row>
    <row r="3682" spans="1:20" ht="17.25" customHeight="1">
      <c r="A3682"/>
      <c r="B3682"/>
      <c r="P3682"/>
      <c r="R3682"/>
      <c r="S3682"/>
      <c r="T3682"/>
    </row>
    <row r="3683" spans="1:20" ht="17.25" customHeight="1">
      <c r="A3683"/>
      <c r="B3683"/>
      <c r="P3683"/>
      <c r="R3683"/>
      <c r="S3683"/>
      <c r="T3683"/>
    </row>
    <row r="3684" spans="1:20" ht="17.25" customHeight="1">
      <c r="A3684"/>
      <c r="B3684"/>
      <c r="P3684"/>
      <c r="R3684"/>
      <c r="S3684"/>
      <c r="T3684"/>
    </row>
    <row r="3685" spans="1:20" ht="17.25" customHeight="1">
      <c r="A3685"/>
      <c r="B3685"/>
      <c r="P3685"/>
      <c r="R3685"/>
      <c r="S3685"/>
      <c r="T3685"/>
    </row>
    <row r="3686" spans="1:20" ht="17.25" customHeight="1">
      <c r="A3686"/>
      <c r="B3686"/>
      <c r="P3686"/>
      <c r="R3686"/>
      <c r="S3686"/>
      <c r="T3686"/>
    </row>
    <row r="3687" spans="1:20" ht="17.25" customHeight="1">
      <c r="A3687"/>
      <c r="B3687"/>
      <c r="P3687"/>
      <c r="R3687"/>
      <c r="S3687"/>
      <c r="T3687"/>
    </row>
    <row r="3688" spans="1:20" ht="17.25" customHeight="1">
      <c r="A3688"/>
      <c r="B3688"/>
      <c r="P3688"/>
      <c r="R3688"/>
      <c r="S3688"/>
      <c r="T3688"/>
    </row>
    <row r="3689" spans="1:20" ht="17.25" customHeight="1">
      <c r="A3689"/>
      <c r="B3689"/>
      <c r="P3689"/>
      <c r="R3689"/>
      <c r="S3689"/>
      <c r="T3689"/>
    </row>
    <row r="3690" spans="1:20" ht="17.25" customHeight="1">
      <c r="A3690"/>
      <c r="B3690"/>
      <c r="P3690"/>
      <c r="R3690"/>
      <c r="S3690"/>
      <c r="T3690"/>
    </row>
    <row r="3691" spans="1:20" ht="17.25" customHeight="1">
      <c r="A3691"/>
      <c r="B3691"/>
      <c r="P3691"/>
      <c r="R3691"/>
      <c r="S3691"/>
      <c r="T3691"/>
    </row>
    <row r="3692" spans="1:20" ht="17.25" customHeight="1">
      <c r="A3692"/>
      <c r="B3692"/>
      <c r="P3692"/>
      <c r="R3692"/>
      <c r="S3692"/>
      <c r="T3692"/>
    </row>
    <row r="3693" spans="1:20" ht="17.25" customHeight="1">
      <c r="A3693"/>
      <c r="B3693"/>
      <c r="P3693"/>
      <c r="R3693"/>
      <c r="S3693"/>
      <c r="T3693"/>
    </row>
    <row r="3694" spans="1:20" ht="17.25" customHeight="1">
      <c r="A3694"/>
      <c r="B3694"/>
      <c r="P3694"/>
      <c r="R3694"/>
      <c r="S3694"/>
      <c r="T3694"/>
    </row>
    <row r="3695" spans="1:20" ht="17.25" customHeight="1">
      <c r="A3695"/>
      <c r="B3695"/>
      <c r="P3695"/>
      <c r="R3695"/>
      <c r="S3695"/>
      <c r="T3695"/>
    </row>
    <row r="3696" spans="1:20" ht="17.25" customHeight="1">
      <c r="A3696"/>
      <c r="B3696"/>
      <c r="P3696"/>
      <c r="R3696"/>
      <c r="S3696"/>
      <c r="T3696"/>
    </row>
    <row r="3697" spans="1:20" ht="17.25" customHeight="1">
      <c r="A3697"/>
      <c r="B3697"/>
      <c r="P3697"/>
      <c r="R3697"/>
      <c r="S3697"/>
      <c r="T3697"/>
    </row>
    <row r="3698" spans="1:20" ht="17.25" customHeight="1">
      <c r="A3698"/>
      <c r="B3698"/>
      <c r="P3698"/>
      <c r="R3698"/>
      <c r="S3698"/>
      <c r="T3698"/>
    </row>
    <row r="3699" spans="1:20" ht="17.25" customHeight="1">
      <c r="A3699"/>
      <c r="B3699"/>
      <c r="P3699"/>
      <c r="R3699"/>
      <c r="S3699"/>
      <c r="T3699"/>
    </row>
    <row r="3700" spans="1:20" ht="17.25" customHeight="1">
      <c r="A3700"/>
      <c r="B3700"/>
      <c r="P3700"/>
      <c r="R3700"/>
      <c r="S3700"/>
      <c r="T3700"/>
    </row>
    <row r="3701" spans="1:20" ht="17.25" customHeight="1">
      <c r="A3701"/>
      <c r="B3701"/>
      <c r="P3701"/>
      <c r="R3701"/>
      <c r="S3701"/>
      <c r="T3701"/>
    </row>
    <row r="3702" spans="1:20" ht="17.25" customHeight="1">
      <c r="A3702"/>
      <c r="B3702"/>
      <c r="P3702"/>
      <c r="R3702"/>
      <c r="S3702"/>
      <c r="T3702"/>
    </row>
    <row r="3703" spans="1:20" ht="17.25" customHeight="1">
      <c r="A3703"/>
      <c r="B3703"/>
      <c r="P3703"/>
      <c r="R3703"/>
      <c r="S3703"/>
      <c r="T3703"/>
    </row>
    <row r="3704" spans="1:20" ht="17.25" customHeight="1">
      <c r="A3704"/>
      <c r="B3704"/>
      <c r="P3704"/>
      <c r="R3704"/>
      <c r="S3704"/>
      <c r="T3704"/>
    </row>
    <row r="3705" spans="1:20" ht="17.25" customHeight="1">
      <c r="A3705"/>
      <c r="B3705"/>
      <c r="P3705"/>
      <c r="R3705"/>
      <c r="S3705"/>
      <c r="T3705"/>
    </row>
    <row r="3706" spans="1:20" ht="17.25" customHeight="1">
      <c r="A3706"/>
      <c r="B3706"/>
      <c r="P3706"/>
      <c r="R3706"/>
      <c r="S3706"/>
      <c r="T3706"/>
    </row>
    <row r="3707" spans="1:20" ht="17.25" customHeight="1">
      <c r="A3707"/>
      <c r="B3707"/>
      <c r="P3707"/>
      <c r="R3707"/>
      <c r="S3707"/>
      <c r="T3707"/>
    </row>
    <row r="3708" spans="1:20" ht="17.25" customHeight="1">
      <c r="A3708"/>
      <c r="B3708"/>
      <c r="P3708"/>
      <c r="R3708"/>
      <c r="S3708"/>
      <c r="T3708"/>
    </row>
    <row r="3709" spans="1:20" ht="17.25" customHeight="1">
      <c r="A3709"/>
      <c r="B3709"/>
      <c r="P3709"/>
      <c r="R3709"/>
      <c r="S3709"/>
      <c r="T3709"/>
    </row>
    <row r="3710" spans="1:20" ht="17.25" customHeight="1">
      <c r="A3710"/>
      <c r="B3710"/>
      <c r="P3710"/>
      <c r="R3710"/>
      <c r="S3710"/>
      <c r="T3710"/>
    </row>
    <row r="3711" spans="1:20" ht="17.25" customHeight="1">
      <c r="A3711"/>
      <c r="B3711"/>
      <c r="P3711"/>
      <c r="R3711"/>
      <c r="S3711"/>
      <c r="T3711"/>
    </row>
    <row r="3712" spans="1:20" ht="17.25" customHeight="1">
      <c r="A3712"/>
      <c r="B3712"/>
      <c r="P3712"/>
      <c r="R3712"/>
      <c r="S3712"/>
      <c r="T3712"/>
    </row>
    <row r="3713" spans="1:20" ht="17.25" customHeight="1">
      <c r="A3713"/>
      <c r="B3713"/>
      <c r="P3713"/>
      <c r="R3713"/>
      <c r="S3713"/>
      <c r="T3713"/>
    </row>
    <row r="3714" spans="1:20" ht="17.25" customHeight="1">
      <c r="A3714"/>
      <c r="B3714"/>
      <c r="P3714"/>
      <c r="R3714"/>
      <c r="S3714"/>
      <c r="T3714"/>
    </row>
    <row r="3715" spans="1:20" ht="17.25" customHeight="1">
      <c r="A3715"/>
      <c r="B3715"/>
      <c r="P3715"/>
      <c r="R3715"/>
      <c r="S3715"/>
      <c r="T3715"/>
    </row>
    <row r="3716" spans="1:20" ht="17.25" customHeight="1">
      <c r="A3716"/>
      <c r="B3716"/>
      <c r="P3716"/>
      <c r="R3716"/>
      <c r="S3716"/>
      <c r="T3716"/>
    </row>
    <row r="3717" spans="1:20" ht="17.25" customHeight="1">
      <c r="A3717"/>
      <c r="B3717"/>
      <c r="P3717"/>
      <c r="R3717"/>
      <c r="S3717"/>
      <c r="T3717"/>
    </row>
    <row r="3718" spans="1:20" ht="17.25" customHeight="1">
      <c r="A3718"/>
      <c r="B3718"/>
      <c r="P3718"/>
      <c r="R3718"/>
      <c r="S3718"/>
      <c r="T3718"/>
    </row>
    <row r="3719" spans="1:20" ht="17.25" customHeight="1">
      <c r="A3719"/>
      <c r="B3719"/>
      <c r="P3719"/>
      <c r="R3719"/>
      <c r="S3719"/>
      <c r="T3719"/>
    </row>
    <row r="3720" spans="1:20" ht="17.25" customHeight="1">
      <c r="A3720"/>
      <c r="B3720"/>
      <c r="P3720"/>
      <c r="R3720"/>
      <c r="S3720"/>
      <c r="T3720"/>
    </row>
    <row r="3721" spans="1:20" ht="17.25" customHeight="1">
      <c r="A3721"/>
      <c r="B3721"/>
      <c r="P3721"/>
      <c r="R3721"/>
      <c r="S3721"/>
      <c r="T3721"/>
    </row>
    <row r="3722" spans="1:20" ht="17.25" customHeight="1">
      <c r="A3722"/>
      <c r="B3722"/>
      <c r="P3722"/>
      <c r="R3722"/>
      <c r="S3722"/>
      <c r="T3722"/>
    </row>
    <row r="3723" spans="1:20" ht="17.25" customHeight="1">
      <c r="A3723"/>
      <c r="B3723"/>
      <c r="P3723"/>
      <c r="R3723"/>
      <c r="S3723"/>
      <c r="T3723"/>
    </row>
    <row r="3724" spans="1:20" ht="17.25" customHeight="1">
      <c r="A3724"/>
      <c r="B3724"/>
      <c r="P3724"/>
      <c r="R3724"/>
      <c r="S3724"/>
      <c r="T3724"/>
    </row>
    <row r="3725" spans="1:20" ht="17.25" customHeight="1">
      <c r="A3725"/>
      <c r="B3725"/>
      <c r="P3725"/>
      <c r="R3725"/>
      <c r="S3725"/>
      <c r="T3725"/>
    </row>
    <row r="3726" spans="1:20" ht="17.25" customHeight="1">
      <c r="A3726"/>
      <c r="B3726"/>
      <c r="P3726"/>
      <c r="R3726"/>
      <c r="S3726"/>
      <c r="T3726"/>
    </row>
    <row r="3727" spans="1:20" ht="17.25" customHeight="1">
      <c r="A3727"/>
      <c r="B3727"/>
      <c r="P3727"/>
      <c r="R3727"/>
      <c r="S3727"/>
      <c r="T3727"/>
    </row>
    <row r="3728" spans="1:20" ht="17.25" customHeight="1">
      <c r="A3728"/>
      <c r="B3728"/>
      <c r="P3728"/>
      <c r="R3728"/>
      <c r="S3728"/>
      <c r="T3728"/>
    </row>
    <row r="3729" spans="1:20" ht="17.25" customHeight="1">
      <c r="A3729"/>
      <c r="B3729"/>
      <c r="P3729"/>
      <c r="R3729"/>
      <c r="S3729"/>
      <c r="T3729"/>
    </row>
    <row r="3730" spans="1:20" ht="17.25" customHeight="1">
      <c r="A3730"/>
      <c r="B3730"/>
      <c r="P3730"/>
      <c r="R3730"/>
      <c r="S3730"/>
      <c r="T3730"/>
    </row>
    <row r="3731" spans="1:20" ht="17.25" customHeight="1">
      <c r="A3731"/>
      <c r="B3731"/>
      <c r="P3731"/>
      <c r="R3731"/>
      <c r="S3731"/>
      <c r="T3731"/>
    </row>
    <row r="3732" spans="1:20" ht="17.25" customHeight="1">
      <c r="A3732"/>
      <c r="B3732"/>
      <c r="P3732"/>
      <c r="R3732"/>
      <c r="S3732"/>
      <c r="T3732"/>
    </row>
    <row r="3733" spans="1:20" ht="17.25" customHeight="1">
      <c r="A3733"/>
      <c r="B3733"/>
      <c r="P3733"/>
      <c r="R3733"/>
      <c r="S3733"/>
      <c r="T3733"/>
    </row>
    <row r="3734" spans="1:20" ht="17.25" customHeight="1">
      <c r="A3734"/>
      <c r="B3734"/>
      <c r="P3734"/>
      <c r="R3734"/>
      <c r="S3734"/>
      <c r="T3734"/>
    </row>
    <row r="3735" spans="1:20" ht="17.25" customHeight="1">
      <c r="A3735"/>
      <c r="B3735"/>
      <c r="P3735"/>
      <c r="R3735"/>
      <c r="S3735"/>
      <c r="T3735"/>
    </row>
    <row r="3736" spans="1:20" ht="17.25" customHeight="1">
      <c r="A3736"/>
      <c r="B3736"/>
      <c r="P3736"/>
      <c r="R3736"/>
      <c r="S3736"/>
      <c r="T3736"/>
    </row>
    <row r="3737" spans="1:20" ht="17.25" customHeight="1">
      <c r="A3737"/>
      <c r="B3737"/>
      <c r="P3737"/>
      <c r="R3737"/>
      <c r="S3737"/>
      <c r="T3737"/>
    </row>
    <row r="3738" spans="1:20" ht="17.25" customHeight="1">
      <c r="A3738"/>
      <c r="B3738"/>
      <c r="P3738"/>
      <c r="R3738"/>
      <c r="S3738"/>
      <c r="T3738"/>
    </row>
    <row r="3739" spans="1:20" ht="17.25" customHeight="1">
      <c r="A3739"/>
      <c r="B3739"/>
      <c r="P3739"/>
      <c r="R3739"/>
      <c r="S3739"/>
      <c r="T3739"/>
    </row>
    <row r="3740" spans="1:20" ht="17.25" customHeight="1">
      <c r="A3740"/>
      <c r="B3740"/>
      <c r="P3740"/>
      <c r="R3740"/>
      <c r="S3740"/>
      <c r="T3740"/>
    </row>
    <row r="3741" spans="1:20" ht="17.25" customHeight="1">
      <c r="A3741"/>
      <c r="B3741"/>
      <c r="P3741"/>
      <c r="R3741"/>
      <c r="S3741"/>
      <c r="T3741"/>
    </row>
    <row r="3742" spans="1:20" ht="17.25" customHeight="1">
      <c r="A3742"/>
      <c r="B3742"/>
      <c r="P3742"/>
      <c r="R3742"/>
      <c r="S3742"/>
      <c r="T3742"/>
    </row>
    <row r="3743" spans="1:20" ht="17.25" customHeight="1">
      <c r="A3743"/>
      <c r="B3743"/>
      <c r="P3743"/>
      <c r="R3743"/>
      <c r="S3743"/>
      <c r="T3743"/>
    </row>
    <row r="3744" spans="1:20" ht="17.25" customHeight="1">
      <c r="A3744"/>
      <c r="B3744"/>
      <c r="P3744"/>
      <c r="R3744"/>
      <c r="S3744"/>
      <c r="T3744"/>
    </row>
    <row r="3745" spans="1:20" ht="17.25" customHeight="1">
      <c r="A3745"/>
      <c r="B3745"/>
      <c r="P3745"/>
      <c r="R3745"/>
      <c r="S3745"/>
      <c r="T3745"/>
    </row>
    <row r="3746" spans="1:20" ht="17.25" customHeight="1">
      <c r="A3746"/>
      <c r="B3746"/>
      <c r="P3746"/>
      <c r="R3746"/>
      <c r="S3746"/>
      <c r="T3746"/>
    </row>
    <row r="3747" spans="1:20" ht="17.25" customHeight="1">
      <c r="A3747"/>
      <c r="B3747"/>
      <c r="P3747"/>
      <c r="R3747"/>
      <c r="S3747"/>
      <c r="T3747"/>
    </row>
    <row r="3748" spans="1:20" ht="17.25" customHeight="1">
      <c r="A3748"/>
      <c r="B3748"/>
      <c r="P3748"/>
      <c r="R3748"/>
      <c r="S3748"/>
      <c r="T3748"/>
    </row>
    <row r="3749" spans="1:20" ht="17.25" customHeight="1">
      <c r="A3749"/>
      <c r="B3749"/>
      <c r="P3749"/>
      <c r="R3749"/>
      <c r="S3749"/>
      <c r="T3749"/>
    </row>
    <row r="3750" spans="1:20" ht="17.25" customHeight="1">
      <c r="A3750"/>
      <c r="B3750"/>
      <c r="P3750"/>
      <c r="R3750"/>
      <c r="S3750"/>
      <c r="T3750"/>
    </row>
    <row r="3751" spans="1:20" ht="17.25" customHeight="1">
      <c r="A3751"/>
      <c r="B3751"/>
      <c r="P3751"/>
      <c r="R3751"/>
      <c r="S3751"/>
      <c r="T3751"/>
    </row>
    <row r="3752" spans="1:20" ht="17.25" customHeight="1">
      <c r="A3752"/>
      <c r="B3752"/>
      <c r="P3752"/>
      <c r="R3752"/>
      <c r="S3752"/>
      <c r="T3752"/>
    </row>
    <row r="3753" spans="1:20" ht="17.25" customHeight="1">
      <c r="A3753"/>
      <c r="B3753"/>
      <c r="P3753"/>
      <c r="R3753"/>
      <c r="S3753"/>
      <c r="T3753"/>
    </row>
    <row r="3754" spans="1:20" ht="17.25" customHeight="1">
      <c r="A3754"/>
      <c r="B3754"/>
      <c r="P3754"/>
      <c r="R3754"/>
      <c r="S3754"/>
      <c r="T3754"/>
    </row>
    <row r="3755" spans="1:20" ht="17.25" customHeight="1">
      <c r="A3755"/>
      <c r="B3755"/>
      <c r="P3755"/>
      <c r="R3755"/>
      <c r="S3755"/>
      <c r="T3755"/>
    </row>
    <row r="3756" spans="1:20" ht="17.25" customHeight="1">
      <c r="A3756"/>
      <c r="B3756"/>
      <c r="P3756"/>
      <c r="R3756"/>
      <c r="S3756"/>
      <c r="T3756"/>
    </row>
    <row r="3757" spans="1:20" ht="17.25" customHeight="1">
      <c r="A3757"/>
      <c r="B3757"/>
      <c r="P3757"/>
      <c r="R3757"/>
      <c r="S3757"/>
      <c r="T3757"/>
    </row>
    <row r="3758" spans="1:20" ht="17.25" customHeight="1">
      <c r="A3758"/>
      <c r="B3758"/>
      <c r="P3758"/>
      <c r="R3758"/>
      <c r="S3758"/>
      <c r="T3758"/>
    </row>
    <row r="3759" spans="1:20" ht="17.25" customHeight="1">
      <c r="A3759"/>
      <c r="B3759"/>
      <c r="P3759"/>
      <c r="R3759"/>
      <c r="S3759"/>
      <c r="T3759"/>
    </row>
    <row r="3760" spans="1:20" ht="17.25" customHeight="1">
      <c r="A3760"/>
      <c r="B3760"/>
      <c r="P3760"/>
      <c r="R3760"/>
      <c r="S3760"/>
      <c r="T3760"/>
    </row>
    <row r="3761" spans="1:20" ht="17.25" customHeight="1">
      <c r="A3761"/>
      <c r="B3761"/>
      <c r="P3761"/>
      <c r="R3761"/>
      <c r="S3761"/>
      <c r="T3761"/>
    </row>
    <row r="3762" spans="1:20" ht="17.25" customHeight="1">
      <c r="A3762"/>
      <c r="B3762"/>
      <c r="P3762"/>
      <c r="R3762"/>
      <c r="S3762"/>
      <c r="T3762"/>
    </row>
    <row r="3763" spans="1:20" ht="17.25" customHeight="1">
      <c r="A3763"/>
      <c r="B3763"/>
      <c r="P3763"/>
      <c r="R3763"/>
      <c r="S3763"/>
      <c r="T3763"/>
    </row>
    <row r="3764" spans="1:20" ht="17.25" customHeight="1">
      <c r="A3764"/>
      <c r="B3764"/>
      <c r="P3764"/>
      <c r="R3764"/>
      <c r="S3764"/>
      <c r="T3764"/>
    </row>
    <row r="3765" spans="1:20" ht="17.25" customHeight="1">
      <c r="A3765"/>
      <c r="B3765"/>
      <c r="P3765"/>
      <c r="R3765"/>
      <c r="S3765"/>
      <c r="T3765"/>
    </row>
    <row r="3766" spans="1:20" ht="17.25" customHeight="1">
      <c r="A3766"/>
      <c r="B3766"/>
      <c r="P3766"/>
      <c r="R3766"/>
      <c r="S3766"/>
      <c r="T3766"/>
    </row>
    <row r="3767" spans="1:20" ht="17.25" customHeight="1">
      <c r="A3767"/>
      <c r="B3767"/>
      <c r="P3767"/>
      <c r="R3767"/>
      <c r="S3767"/>
      <c r="T3767"/>
    </row>
    <row r="3768" spans="1:20" ht="17.25" customHeight="1">
      <c r="A3768"/>
      <c r="B3768"/>
      <c r="P3768"/>
      <c r="R3768"/>
      <c r="S3768"/>
      <c r="T3768"/>
    </row>
    <row r="3769" spans="1:20" ht="17.25" customHeight="1">
      <c r="A3769"/>
      <c r="B3769"/>
      <c r="P3769"/>
      <c r="R3769"/>
      <c r="S3769"/>
      <c r="T3769"/>
    </row>
    <row r="3770" spans="1:20" ht="17.25" customHeight="1">
      <c r="A3770"/>
      <c r="B3770"/>
      <c r="P3770"/>
      <c r="R3770"/>
      <c r="S3770"/>
      <c r="T3770"/>
    </row>
    <row r="3771" spans="1:20" ht="17.25" customHeight="1">
      <c r="A3771"/>
      <c r="B3771"/>
      <c r="P3771"/>
      <c r="R3771"/>
      <c r="S3771"/>
      <c r="T3771"/>
    </row>
    <row r="3772" spans="1:20" ht="17.25" customHeight="1">
      <c r="A3772"/>
      <c r="B3772"/>
      <c r="P3772"/>
      <c r="R3772"/>
      <c r="S3772"/>
      <c r="T3772"/>
    </row>
    <row r="3773" spans="1:20" ht="17.25" customHeight="1">
      <c r="A3773"/>
      <c r="B3773"/>
      <c r="P3773"/>
      <c r="R3773"/>
      <c r="S3773"/>
      <c r="T3773"/>
    </row>
    <row r="3774" spans="1:20" ht="17.25" customHeight="1">
      <c r="A3774"/>
      <c r="B3774"/>
      <c r="P3774"/>
      <c r="R3774"/>
      <c r="S3774"/>
      <c r="T3774"/>
    </row>
    <row r="3775" spans="1:20" ht="17.25" customHeight="1">
      <c r="A3775"/>
      <c r="B3775"/>
      <c r="P3775"/>
      <c r="R3775"/>
      <c r="S3775"/>
      <c r="T3775"/>
    </row>
    <row r="3776" spans="1:20" ht="17.25" customHeight="1">
      <c r="A3776"/>
      <c r="B3776"/>
      <c r="P3776"/>
      <c r="R3776"/>
      <c r="S3776"/>
      <c r="T3776"/>
    </row>
    <row r="3777" spans="1:20" ht="17.25" customHeight="1">
      <c r="A3777"/>
      <c r="B3777"/>
      <c r="P3777"/>
      <c r="R3777"/>
      <c r="S3777"/>
      <c r="T3777"/>
    </row>
    <row r="3778" spans="1:20" ht="17.25" customHeight="1">
      <c r="A3778"/>
      <c r="B3778"/>
      <c r="P3778"/>
      <c r="R3778"/>
      <c r="S3778"/>
      <c r="T3778"/>
    </row>
    <row r="3779" spans="1:20" ht="17.25" customHeight="1">
      <c r="A3779"/>
      <c r="B3779"/>
      <c r="P3779"/>
      <c r="R3779"/>
      <c r="S3779"/>
      <c r="T3779"/>
    </row>
    <row r="3780" spans="1:20" ht="17.25" customHeight="1">
      <c r="A3780"/>
      <c r="B3780"/>
      <c r="P3780"/>
      <c r="R3780"/>
      <c r="S3780"/>
      <c r="T3780"/>
    </row>
    <row r="3781" spans="1:20" ht="17.25" customHeight="1">
      <c r="A3781"/>
      <c r="B3781"/>
      <c r="P3781"/>
      <c r="R3781"/>
      <c r="S3781"/>
      <c r="T3781"/>
    </row>
    <row r="3782" spans="1:20" ht="17.25" customHeight="1">
      <c r="A3782"/>
      <c r="B3782"/>
      <c r="P3782"/>
      <c r="R3782"/>
      <c r="S3782"/>
      <c r="T3782"/>
    </row>
    <row r="3783" spans="1:20" ht="17.25" customHeight="1">
      <c r="A3783"/>
      <c r="B3783"/>
      <c r="P3783"/>
      <c r="R3783"/>
      <c r="S3783"/>
      <c r="T3783"/>
    </row>
    <row r="3784" spans="1:20" ht="17.25" customHeight="1">
      <c r="A3784"/>
      <c r="B3784"/>
      <c r="P3784"/>
      <c r="R3784"/>
      <c r="S3784"/>
      <c r="T3784"/>
    </row>
    <row r="3785" spans="1:20" ht="17.25" customHeight="1">
      <c r="A3785"/>
      <c r="B3785"/>
      <c r="P3785"/>
      <c r="R3785"/>
      <c r="S3785"/>
      <c r="T3785"/>
    </row>
    <row r="3786" spans="1:20" ht="17.25" customHeight="1">
      <c r="A3786"/>
      <c r="B3786"/>
      <c r="P3786"/>
      <c r="R3786"/>
      <c r="S3786"/>
      <c r="T3786"/>
    </row>
    <row r="3787" spans="1:20" ht="17.25" customHeight="1">
      <c r="A3787"/>
      <c r="B3787"/>
      <c r="P3787"/>
      <c r="R3787"/>
      <c r="S3787"/>
      <c r="T3787"/>
    </row>
    <row r="3788" spans="1:20" ht="17.25" customHeight="1">
      <c r="A3788"/>
      <c r="B3788"/>
      <c r="P3788"/>
      <c r="R3788"/>
      <c r="S3788"/>
      <c r="T3788"/>
    </row>
    <row r="3789" spans="1:20" ht="17.25" customHeight="1">
      <c r="A3789"/>
      <c r="B3789"/>
      <c r="P3789"/>
      <c r="R3789"/>
      <c r="S3789"/>
      <c r="T3789"/>
    </row>
    <row r="3790" spans="1:20" ht="17.25" customHeight="1">
      <c r="A3790"/>
      <c r="B3790"/>
      <c r="P3790"/>
      <c r="R3790"/>
      <c r="S3790"/>
      <c r="T3790"/>
    </row>
    <row r="3791" spans="1:20" ht="17.25" customHeight="1">
      <c r="A3791"/>
      <c r="B3791"/>
      <c r="P3791"/>
      <c r="R3791"/>
      <c r="S3791"/>
      <c r="T3791"/>
    </row>
    <row r="3792" spans="1:20" ht="17.25" customHeight="1">
      <c r="A3792"/>
      <c r="B3792"/>
      <c r="P3792"/>
      <c r="R3792"/>
      <c r="S3792"/>
      <c r="T3792"/>
    </row>
    <row r="3793" spans="1:20" ht="17.25" customHeight="1">
      <c r="A3793"/>
      <c r="B3793"/>
      <c r="P3793"/>
      <c r="R3793"/>
      <c r="S3793"/>
      <c r="T3793"/>
    </row>
    <row r="3794" spans="1:20" ht="17.25" customHeight="1">
      <c r="A3794"/>
      <c r="B3794"/>
      <c r="P3794"/>
      <c r="R3794"/>
      <c r="S3794"/>
      <c r="T3794"/>
    </row>
    <row r="3795" spans="1:20" ht="17.25" customHeight="1">
      <c r="A3795"/>
      <c r="B3795"/>
      <c r="P3795"/>
      <c r="R3795"/>
      <c r="S3795"/>
      <c r="T3795"/>
    </row>
    <row r="3796" spans="1:20" ht="17.25" customHeight="1">
      <c r="A3796"/>
      <c r="B3796"/>
      <c r="P3796"/>
      <c r="R3796"/>
      <c r="S3796"/>
      <c r="T3796"/>
    </row>
    <row r="3797" spans="1:20" ht="17.25" customHeight="1">
      <c r="A3797"/>
      <c r="B3797"/>
      <c r="P3797"/>
      <c r="R3797"/>
      <c r="S3797"/>
      <c r="T3797"/>
    </row>
    <row r="3798" spans="1:20" ht="17.25" customHeight="1">
      <c r="A3798"/>
      <c r="B3798"/>
      <c r="P3798"/>
      <c r="R3798"/>
      <c r="S3798"/>
      <c r="T3798"/>
    </row>
    <row r="3799" spans="1:20" ht="17.25" customHeight="1">
      <c r="A3799"/>
      <c r="B3799"/>
      <c r="P3799"/>
      <c r="R3799"/>
      <c r="S3799"/>
      <c r="T3799"/>
    </row>
    <row r="3800" spans="1:20" ht="17.25" customHeight="1">
      <c r="A3800"/>
      <c r="B3800"/>
      <c r="P3800"/>
      <c r="R3800"/>
      <c r="S3800"/>
      <c r="T3800"/>
    </row>
    <row r="3801" spans="1:20" ht="17.25" customHeight="1">
      <c r="A3801"/>
      <c r="B3801"/>
      <c r="P3801"/>
      <c r="R3801"/>
      <c r="S3801"/>
      <c r="T3801"/>
    </row>
    <row r="3802" spans="1:20" ht="17.25" customHeight="1">
      <c r="A3802"/>
      <c r="B3802"/>
      <c r="P3802"/>
      <c r="R3802"/>
      <c r="S3802"/>
      <c r="T3802"/>
    </row>
    <row r="3803" spans="1:20" ht="17.25" customHeight="1">
      <c r="A3803"/>
      <c r="B3803"/>
      <c r="P3803"/>
      <c r="R3803"/>
      <c r="S3803"/>
      <c r="T3803"/>
    </row>
    <row r="3804" spans="1:20" ht="17.25" customHeight="1">
      <c r="A3804"/>
      <c r="B3804"/>
      <c r="P3804"/>
      <c r="R3804"/>
      <c r="S3804"/>
      <c r="T3804"/>
    </row>
    <row r="3805" spans="1:20" ht="17.25" customHeight="1">
      <c r="A3805"/>
      <c r="B3805"/>
      <c r="P3805"/>
      <c r="R3805"/>
      <c r="S3805"/>
      <c r="T3805"/>
    </row>
    <row r="3806" spans="1:20" ht="17.25" customHeight="1">
      <c r="A3806"/>
      <c r="B3806"/>
      <c r="P3806"/>
      <c r="R3806"/>
      <c r="S3806"/>
      <c r="T3806"/>
    </row>
    <row r="3807" spans="1:20" ht="17.25" customHeight="1">
      <c r="A3807"/>
      <c r="B3807"/>
      <c r="P3807"/>
      <c r="R3807"/>
      <c r="S3807"/>
      <c r="T3807"/>
    </row>
    <row r="3808" spans="1:20" ht="17.25" customHeight="1">
      <c r="A3808"/>
      <c r="B3808"/>
      <c r="P3808"/>
      <c r="R3808"/>
      <c r="S3808"/>
      <c r="T3808"/>
    </row>
    <row r="3809" spans="1:20" ht="17.25" customHeight="1">
      <c r="A3809"/>
      <c r="B3809"/>
      <c r="P3809"/>
      <c r="R3809"/>
      <c r="S3809"/>
      <c r="T3809"/>
    </row>
    <row r="3810" spans="1:20" ht="17.25" customHeight="1">
      <c r="A3810"/>
      <c r="B3810"/>
      <c r="P3810"/>
      <c r="R3810"/>
      <c r="S3810"/>
      <c r="T3810"/>
    </row>
    <row r="3811" spans="1:20" ht="17.25" customHeight="1">
      <c r="A3811"/>
      <c r="B3811"/>
      <c r="P3811"/>
      <c r="R3811"/>
      <c r="S3811"/>
      <c r="T3811"/>
    </row>
    <row r="3812" spans="1:20" ht="17.25" customHeight="1">
      <c r="A3812"/>
      <c r="B3812"/>
      <c r="P3812"/>
      <c r="R3812"/>
      <c r="S3812"/>
      <c r="T3812"/>
    </row>
    <row r="3813" spans="1:20" ht="17.25" customHeight="1">
      <c r="A3813"/>
      <c r="B3813"/>
      <c r="P3813"/>
      <c r="R3813"/>
      <c r="S3813"/>
      <c r="T3813"/>
    </row>
    <row r="3814" spans="1:20" ht="17.25" customHeight="1">
      <c r="A3814"/>
      <c r="B3814"/>
      <c r="P3814"/>
      <c r="R3814"/>
      <c r="S3814"/>
      <c r="T3814"/>
    </row>
    <row r="3815" spans="1:20" ht="17.25" customHeight="1">
      <c r="A3815"/>
      <c r="B3815"/>
      <c r="P3815"/>
      <c r="R3815"/>
      <c r="S3815"/>
      <c r="T3815"/>
    </row>
    <row r="3816" spans="1:20" ht="17.25" customHeight="1">
      <c r="A3816"/>
      <c r="B3816"/>
      <c r="P3816"/>
      <c r="R3816"/>
      <c r="S3816"/>
      <c r="T3816"/>
    </row>
    <row r="3817" spans="1:20" ht="17.25" customHeight="1">
      <c r="A3817"/>
      <c r="B3817"/>
      <c r="P3817"/>
      <c r="R3817"/>
      <c r="S3817"/>
      <c r="T3817"/>
    </row>
    <row r="3818" spans="1:20" ht="17.25" customHeight="1">
      <c r="A3818"/>
      <c r="B3818"/>
      <c r="P3818"/>
      <c r="R3818"/>
      <c r="S3818"/>
      <c r="T3818"/>
    </row>
    <row r="3819" spans="1:20" ht="17.25" customHeight="1">
      <c r="A3819"/>
      <c r="B3819"/>
      <c r="P3819"/>
      <c r="R3819"/>
      <c r="S3819"/>
      <c r="T3819"/>
    </row>
    <row r="3820" spans="1:20" ht="17.25" customHeight="1">
      <c r="A3820"/>
      <c r="B3820"/>
      <c r="P3820"/>
      <c r="R3820"/>
      <c r="S3820"/>
      <c r="T3820"/>
    </row>
    <row r="3821" spans="1:20" ht="17.25" customHeight="1">
      <c r="A3821"/>
      <c r="B3821"/>
      <c r="P3821"/>
      <c r="R3821"/>
      <c r="S3821"/>
      <c r="T3821"/>
    </row>
    <row r="3822" spans="1:20" ht="17.25" customHeight="1">
      <c r="A3822"/>
      <c r="B3822"/>
      <c r="P3822"/>
      <c r="R3822"/>
      <c r="S3822"/>
      <c r="T3822"/>
    </row>
    <row r="3823" spans="1:20" ht="17.25" customHeight="1">
      <c r="A3823"/>
      <c r="B3823"/>
      <c r="P3823"/>
      <c r="R3823"/>
      <c r="S3823"/>
      <c r="T3823"/>
    </row>
    <row r="3824" spans="1:20" ht="17.25" customHeight="1">
      <c r="A3824"/>
      <c r="B3824"/>
      <c r="P3824"/>
      <c r="R3824"/>
      <c r="S3824"/>
      <c r="T3824"/>
    </row>
    <row r="3825" spans="1:20" ht="17.25" customHeight="1">
      <c r="A3825"/>
      <c r="B3825"/>
      <c r="P3825"/>
      <c r="R3825"/>
      <c r="S3825"/>
      <c r="T3825"/>
    </row>
    <row r="3826" spans="1:20" ht="17.25" customHeight="1">
      <c r="A3826"/>
      <c r="B3826"/>
      <c r="P3826"/>
      <c r="R3826"/>
      <c r="S3826"/>
      <c r="T3826"/>
    </row>
    <row r="3827" spans="1:20" ht="17.25" customHeight="1">
      <c r="A3827"/>
      <c r="B3827"/>
      <c r="P3827"/>
      <c r="R3827"/>
      <c r="S3827"/>
      <c r="T3827"/>
    </row>
    <row r="3828" spans="1:20" ht="17.25" customHeight="1">
      <c r="A3828"/>
      <c r="B3828"/>
      <c r="P3828"/>
      <c r="R3828"/>
      <c r="S3828"/>
      <c r="T3828"/>
    </row>
    <row r="3829" spans="1:20" ht="17.25" customHeight="1">
      <c r="A3829"/>
      <c r="B3829"/>
      <c r="P3829"/>
      <c r="R3829"/>
      <c r="S3829"/>
      <c r="T3829"/>
    </row>
    <row r="3830" spans="1:20" ht="17.25" customHeight="1">
      <c r="A3830"/>
      <c r="B3830"/>
      <c r="P3830"/>
      <c r="R3830"/>
      <c r="S3830"/>
      <c r="T3830"/>
    </row>
    <row r="3831" spans="1:20" ht="17.25" customHeight="1">
      <c r="A3831"/>
      <c r="B3831"/>
      <c r="P3831"/>
      <c r="R3831"/>
      <c r="S3831"/>
      <c r="T3831"/>
    </row>
    <row r="3832" spans="1:20" ht="17.25" customHeight="1">
      <c r="A3832"/>
      <c r="B3832"/>
      <c r="P3832"/>
      <c r="R3832"/>
      <c r="S3832"/>
      <c r="T3832"/>
    </row>
    <row r="3833" spans="1:20" ht="17.25" customHeight="1">
      <c r="A3833"/>
      <c r="B3833"/>
      <c r="P3833"/>
      <c r="R3833"/>
      <c r="S3833"/>
      <c r="T3833"/>
    </row>
    <row r="3834" spans="1:20" ht="17.25" customHeight="1">
      <c r="A3834"/>
      <c r="B3834"/>
      <c r="P3834"/>
      <c r="R3834"/>
      <c r="S3834"/>
      <c r="T3834"/>
    </row>
    <row r="3835" spans="1:20" ht="17.25" customHeight="1">
      <c r="A3835"/>
      <c r="B3835"/>
      <c r="P3835"/>
      <c r="R3835"/>
      <c r="S3835"/>
      <c r="T3835"/>
    </row>
    <row r="3836" spans="1:20" ht="17.25" customHeight="1">
      <c r="A3836"/>
      <c r="B3836"/>
      <c r="P3836"/>
      <c r="R3836"/>
      <c r="S3836"/>
      <c r="T3836"/>
    </row>
    <row r="3837" spans="1:20" ht="17.25" customHeight="1">
      <c r="A3837"/>
      <c r="B3837"/>
      <c r="P3837"/>
      <c r="R3837"/>
      <c r="S3837"/>
      <c r="T3837"/>
    </row>
    <row r="3838" spans="1:20" ht="17.25" customHeight="1">
      <c r="A3838"/>
      <c r="B3838"/>
      <c r="P3838"/>
      <c r="R3838"/>
      <c r="S3838"/>
      <c r="T3838"/>
    </row>
    <row r="3839" spans="1:20" ht="17.25" customHeight="1">
      <c r="A3839"/>
      <c r="B3839"/>
      <c r="P3839"/>
      <c r="R3839"/>
      <c r="S3839"/>
      <c r="T3839"/>
    </row>
    <row r="3840" spans="1:20" ht="17.25" customHeight="1">
      <c r="A3840"/>
      <c r="B3840"/>
      <c r="P3840"/>
      <c r="R3840"/>
      <c r="S3840"/>
      <c r="T3840"/>
    </row>
    <row r="3841" spans="1:20" ht="17.25" customHeight="1">
      <c r="A3841"/>
      <c r="B3841"/>
      <c r="P3841"/>
      <c r="R3841"/>
      <c r="S3841"/>
      <c r="T3841"/>
    </row>
    <row r="3842" spans="1:20" ht="17.25" customHeight="1">
      <c r="A3842"/>
      <c r="B3842"/>
      <c r="P3842"/>
      <c r="R3842"/>
      <c r="S3842"/>
      <c r="T3842"/>
    </row>
    <row r="3843" spans="1:20" ht="17.25" customHeight="1">
      <c r="A3843"/>
      <c r="B3843"/>
      <c r="P3843"/>
      <c r="R3843"/>
      <c r="S3843"/>
      <c r="T3843"/>
    </row>
    <row r="3844" spans="1:20" ht="17.25" customHeight="1">
      <c r="A3844"/>
      <c r="B3844"/>
      <c r="P3844"/>
      <c r="R3844"/>
      <c r="S3844"/>
      <c r="T3844"/>
    </row>
    <row r="3845" spans="1:20" ht="17.25" customHeight="1">
      <c r="A3845"/>
      <c r="B3845"/>
      <c r="P3845"/>
      <c r="R3845"/>
      <c r="S3845"/>
      <c r="T3845"/>
    </row>
    <row r="3846" spans="1:20" ht="17.25" customHeight="1">
      <c r="A3846"/>
      <c r="B3846"/>
      <c r="P3846"/>
      <c r="R3846"/>
      <c r="S3846"/>
      <c r="T3846"/>
    </row>
    <row r="3847" spans="1:20" ht="17.25" customHeight="1">
      <c r="A3847"/>
      <c r="B3847"/>
      <c r="P3847"/>
      <c r="R3847"/>
      <c r="S3847"/>
      <c r="T3847"/>
    </row>
    <row r="3848" spans="1:20" ht="17.25" customHeight="1">
      <c r="A3848"/>
      <c r="B3848"/>
      <c r="P3848"/>
      <c r="R3848"/>
      <c r="S3848"/>
      <c r="T3848"/>
    </row>
    <row r="3849" spans="1:20" ht="17.25" customHeight="1">
      <c r="A3849"/>
      <c r="B3849"/>
      <c r="P3849"/>
      <c r="R3849"/>
      <c r="S3849"/>
      <c r="T3849"/>
    </row>
    <row r="3850" spans="1:20" ht="17.25" customHeight="1">
      <c r="A3850"/>
      <c r="B3850"/>
      <c r="P3850"/>
      <c r="R3850"/>
      <c r="S3850"/>
      <c r="T3850"/>
    </row>
    <row r="3851" spans="1:20" ht="17.25" customHeight="1">
      <c r="A3851"/>
      <c r="B3851"/>
      <c r="P3851"/>
      <c r="R3851"/>
      <c r="S3851"/>
      <c r="T3851"/>
    </row>
    <row r="3852" spans="1:20" ht="17.25" customHeight="1">
      <c r="A3852"/>
      <c r="B3852"/>
      <c r="P3852"/>
      <c r="R3852"/>
      <c r="S3852"/>
      <c r="T3852"/>
    </row>
    <row r="3853" spans="1:20" ht="17.25" customHeight="1">
      <c r="A3853"/>
      <c r="B3853"/>
      <c r="P3853"/>
      <c r="R3853"/>
      <c r="S3853"/>
      <c r="T3853"/>
    </row>
    <row r="3854" spans="1:20" ht="17.25" customHeight="1">
      <c r="A3854"/>
      <c r="B3854"/>
      <c r="P3854"/>
      <c r="R3854"/>
      <c r="S3854"/>
      <c r="T3854"/>
    </row>
    <row r="3855" spans="1:20" ht="17.25" customHeight="1">
      <c r="A3855"/>
      <c r="B3855"/>
      <c r="P3855"/>
      <c r="R3855"/>
      <c r="S3855"/>
      <c r="T3855"/>
    </row>
    <row r="3856" spans="1:20" ht="17.25" customHeight="1">
      <c r="A3856"/>
      <c r="B3856"/>
      <c r="P3856"/>
      <c r="R3856"/>
      <c r="S3856"/>
      <c r="T3856"/>
    </row>
    <row r="3857" spans="1:20" ht="17.25" customHeight="1">
      <c r="A3857"/>
      <c r="B3857"/>
      <c r="P3857"/>
      <c r="R3857"/>
      <c r="S3857"/>
      <c r="T3857"/>
    </row>
    <row r="3858" spans="1:20" ht="17.25" customHeight="1">
      <c r="A3858"/>
      <c r="B3858"/>
      <c r="P3858"/>
      <c r="R3858"/>
      <c r="S3858"/>
      <c r="T3858"/>
    </row>
    <row r="3859" spans="1:20" ht="17.25" customHeight="1">
      <c r="A3859"/>
      <c r="B3859"/>
      <c r="P3859"/>
      <c r="R3859"/>
      <c r="S3859"/>
      <c r="T3859"/>
    </row>
    <row r="3860" spans="1:20" ht="17.25" customHeight="1">
      <c r="A3860"/>
      <c r="B3860"/>
      <c r="P3860"/>
      <c r="R3860"/>
      <c r="S3860"/>
      <c r="T3860"/>
    </row>
    <row r="3861" spans="1:20" ht="17.25" customHeight="1">
      <c r="A3861"/>
      <c r="B3861"/>
      <c r="P3861"/>
      <c r="R3861"/>
      <c r="S3861"/>
      <c r="T3861"/>
    </row>
    <row r="3862" spans="1:20" ht="17.25" customHeight="1">
      <c r="A3862"/>
      <c r="B3862"/>
      <c r="P3862"/>
      <c r="R3862"/>
      <c r="S3862"/>
      <c r="T3862"/>
    </row>
    <row r="3863" spans="1:20" ht="17.25" customHeight="1">
      <c r="A3863"/>
      <c r="B3863"/>
      <c r="P3863"/>
      <c r="R3863"/>
      <c r="S3863"/>
      <c r="T3863"/>
    </row>
    <row r="3864" spans="1:20" ht="17.25" customHeight="1">
      <c r="A3864"/>
      <c r="B3864"/>
      <c r="P3864"/>
      <c r="R3864"/>
      <c r="S3864"/>
      <c r="T3864"/>
    </row>
    <row r="3865" spans="1:20" ht="17.25" customHeight="1">
      <c r="A3865"/>
      <c r="B3865"/>
      <c r="P3865"/>
      <c r="R3865"/>
      <c r="S3865"/>
      <c r="T3865"/>
    </row>
    <row r="3866" spans="1:20" ht="17.25" customHeight="1">
      <c r="A3866"/>
      <c r="B3866"/>
      <c r="P3866"/>
      <c r="R3866"/>
      <c r="S3866"/>
      <c r="T3866"/>
    </row>
    <row r="3867" spans="1:20" ht="17.25" customHeight="1">
      <c r="A3867"/>
      <c r="B3867"/>
      <c r="P3867"/>
      <c r="R3867"/>
      <c r="S3867"/>
      <c r="T3867"/>
    </row>
    <row r="3868" spans="1:20" ht="17.25" customHeight="1">
      <c r="A3868"/>
      <c r="B3868"/>
      <c r="P3868"/>
      <c r="R3868"/>
      <c r="S3868"/>
      <c r="T3868"/>
    </row>
    <row r="3869" spans="1:20" ht="17.25" customHeight="1">
      <c r="A3869"/>
      <c r="B3869"/>
      <c r="P3869"/>
      <c r="R3869"/>
      <c r="S3869"/>
      <c r="T3869"/>
    </row>
    <row r="3870" spans="1:20" ht="17.25" customHeight="1">
      <c r="A3870"/>
      <c r="B3870"/>
      <c r="P3870"/>
      <c r="R3870"/>
      <c r="S3870"/>
      <c r="T3870"/>
    </row>
    <row r="3871" spans="1:20" ht="17.25" customHeight="1">
      <c r="A3871"/>
      <c r="B3871"/>
      <c r="P3871"/>
      <c r="R3871"/>
      <c r="S3871"/>
      <c r="T3871"/>
    </row>
    <row r="3872" spans="1:20" ht="17.25" customHeight="1">
      <c r="A3872"/>
      <c r="B3872"/>
      <c r="P3872"/>
      <c r="R3872"/>
      <c r="S3872"/>
      <c r="T3872"/>
    </row>
    <row r="3873" spans="1:20" ht="17.25" customHeight="1">
      <c r="A3873"/>
      <c r="B3873"/>
      <c r="P3873"/>
      <c r="R3873"/>
      <c r="S3873"/>
      <c r="T3873"/>
    </row>
    <row r="3874" spans="1:20" ht="17.25" customHeight="1">
      <c r="A3874"/>
      <c r="B3874"/>
      <c r="P3874"/>
      <c r="R3874"/>
      <c r="S3874"/>
      <c r="T3874"/>
    </row>
    <row r="3875" spans="1:20" ht="17.25" customHeight="1">
      <c r="A3875"/>
      <c r="B3875"/>
      <c r="P3875"/>
      <c r="R3875"/>
      <c r="S3875"/>
      <c r="T3875"/>
    </row>
    <row r="3876" spans="1:20" ht="17.25" customHeight="1">
      <c r="A3876"/>
      <c r="B3876"/>
      <c r="P3876"/>
      <c r="R3876"/>
      <c r="S3876"/>
      <c r="T3876"/>
    </row>
    <row r="3877" spans="1:20" ht="17.25" customHeight="1">
      <c r="A3877"/>
      <c r="B3877"/>
      <c r="P3877"/>
      <c r="R3877"/>
      <c r="S3877"/>
      <c r="T3877"/>
    </row>
    <row r="3878" spans="1:20" ht="17.25" customHeight="1">
      <c r="A3878"/>
      <c r="B3878"/>
      <c r="P3878"/>
      <c r="R3878"/>
      <c r="S3878"/>
      <c r="T3878"/>
    </row>
    <row r="3879" spans="1:20" ht="17.25" customHeight="1">
      <c r="A3879"/>
      <c r="B3879"/>
      <c r="P3879"/>
      <c r="R3879"/>
      <c r="S3879"/>
      <c r="T3879"/>
    </row>
    <row r="3880" spans="1:20" ht="17.25" customHeight="1">
      <c r="A3880"/>
      <c r="B3880"/>
      <c r="P3880"/>
      <c r="R3880"/>
      <c r="S3880"/>
      <c r="T3880"/>
    </row>
    <row r="3881" spans="1:20" ht="17.25" customHeight="1">
      <c r="A3881"/>
      <c r="B3881"/>
      <c r="P3881"/>
      <c r="R3881"/>
      <c r="S3881"/>
      <c r="T3881"/>
    </row>
    <row r="3882" spans="1:20" ht="17.25" customHeight="1">
      <c r="A3882"/>
      <c r="B3882"/>
      <c r="P3882"/>
      <c r="R3882"/>
      <c r="S3882"/>
      <c r="T3882"/>
    </row>
    <row r="3883" spans="1:20" ht="17.25" customHeight="1">
      <c r="A3883"/>
      <c r="B3883"/>
      <c r="P3883"/>
      <c r="R3883"/>
      <c r="S3883"/>
      <c r="T3883"/>
    </row>
    <row r="3884" spans="1:20" ht="17.25" customHeight="1">
      <c r="A3884"/>
      <c r="B3884"/>
      <c r="P3884"/>
      <c r="R3884"/>
      <c r="S3884"/>
      <c r="T3884"/>
    </row>
    <row r="3885" spans="1:20" ht="17.25" customHeight="1">
      <c r="A3885"/>
      <c r="B3885"/>
      <c r="P3885"/>
      <c r="R3885"/>
      <c r="S3885"/>
      <c r="T3885"/>
    </row>
    <row r="3886" spans="1:20" ht="17.25" customHeight="1">
      <c r="A3886"/>
      <c r="B3886"/>
      <c r="P3886"/>
      <c r="R3886"/>
      <c r="S3886"/>
      <c r="T3886"/>
    </row>
    <row r="3887" spans="1:20" ht="17.25" customHeight="1">
      <c r="A3887"/>
      <c r="B3887"/>
      <c r="P3887"/>
      <c r="R3887"/>
      <c r="S3887"/>
      <c r="T3887"/>
    </row>
    <row r="3888" spans="1:20" ht="17.25" customHeight="1">
      <c r="A3888"/>
      <c r="B3888"/>
      <c r="P3888"/>
      <c r="R3888"/>
      <c r="S3888"/>
      <c r="T3888"/>
    </row>
    <row r="3889" spans="1:20" ht="17.25" customHeight="1">
      <c r="A3889"/>
      <c r="B3889"/>
      <c r="P3889"/>
      <c r="R3889"/>
      <c r="S3889"/>
      <c r="T3889"/>
    </row>
    <row r="3890" spans="1:20" ht="17.25" customHeight="1">
      <c r="A3890"/>
      <c r="B3890"/>
      <c r="P3890"/>
      <c r="R3890"/>
      <c r="S3890"/>
      <c r="T3890"/>
    </row>
    <row r="3891" spans="1:20" ht="17.25" customHeight="1">
      <c r="A3891"/>
      <c r="B3891"/>
      <c r="P3891"/>
      <c r="R3891"/>
      <c r="S3891"/>
      <c r="T3891"/>
    </row>
    <row r="3892" spans="1:20" ht="17.25" customHeight="1">
      <c r="A3892"/>
      <c r="B3892"/>
      <c r="P3892"/>
      <c r="R3892"/>
      <c r="S3892"/>
      <c r="T3892"/>
    </row>
    <row r="3893" spans="1:20" ht="17.25" customHeight="1">
      <c r="A3893"/>
      <c r="B3893"/>
      <c r="P3893"/>
      <c r="R3893"/>
      <c r="S3893"/>
      <c r="T3893"/>
    </row>
    <row r="3894" spans="1:20" ht="17.25" customHeight="1">
      <c r="A3894"/>
      <c r="B3894"/>
      <c r="P3894"/>
      <c r="R3894"/>
      <c r="S3894"/>
      <c r="T3894"/>
    </row>
    <row r="3895" spans="1:20" ht="17.25" customHeight="1">
      <c r="A3895"/>
      <c r="B3895"/>
      <c r="P3895"/>
      <c r="R3895"/>
      <c r="S3895"/>
      <c r="T3895"/>
    </row>
    <row r="3896" spans="1:20" ht="17.25" customHeight="1">
      <c r="A3896"/>
      <c r="B3896"/>
      <c r="P3896"/>
      <c r="R3896"/>
      <c r="S3896"/>
      <c r="T3896"/>
    </row>
    <row r="3897" spans="1:20" ht="17.25" customHeight="1">
      <c r="A3897"/>
      <c r="B3897"/>
      <c r="P3897"/>
      <c r="R3897"/>
      <c r="S3897"/>
      <c r="T3897"/>
    </row>
    <row r="3898" spans="1:20" ht="17.25" customHeight="1">
      <c r="A3898"/>
      <c r="B3898"/>
      <c r="P3898"/>
      <c r="R3898"/>
      <c r="S3898"/>
      <c r="T3898"/>
    </row>
    <row r="3899" spans="1:20" ht="17.25" customHeight="1">
      <c r="A3899"/>
      <c r="B3899"/>
      <c r="P3899"/>
      <c r="R3899"/>
      <c r="S3899"/>
      <c r="T3899"/>
    </row>
    <row r="3900" spans="1:20" ht="17.25" customHeight="1">
      <c r="A3900"/>
      <c r="B3900"/>
      <c r="P3900"/>
      <c r="R3900"/>
      <c r="S3900"/>
      <c r="T3900"/>
    </row>
    <row r="3901" spans="1:20" ht="17.25" customHeight="1">
      <c r="A3901"/>
      <c r="B3901"/>
      <c r="P3901"/>
      <c r="R3901"/>
      <c r="S3901"/>
      <c r="T3901"/>
    </row>
    <row r="3902" spans="1:20" ht="17.25" customHeight="1">
      <c r="A3902"/>
      <c r="B3902"/>
      <c r="P3902"/>
      <c r="R3902"/>
      <c r="S3902"/>
      <c r="T3902"/>
    </row>
    <row r="3903" spans="1:20" ht="17.25" customHeight="1">
      <c r="A3903"/>
      <c r="B3903"/>
      <c r="P3903"/>
      <c r="R3903"/>
      <c r="S3903"/>
      <c r="T3903"/>
    </row>
    <row r="3904" spans="1:20" ht="17.25" customHeight="1">
      <c r="A3904"/>
      <c r="B3904"/>
      <c r="P3904"/>
      <c r="R3904"/>
      <c r="S3904"/>
      <c r="T3904"/>
    </row>
    <row r="3905" spans="1:20" ht="17.25" customHeight="1">
      <c r="A3905"/>
      <c r="B3905"/>
      <c r="P3905"/>
      <c r="R3905"/>
      <c r="S3905"/>
      <c r="T3905"/>
    </row>
    <row r="3906" spans="1:20" ht="17.25" customHeight="1">
      <c r="A3906"/>
      <c r="B3906"/>
      <c r="P3906"/>
      <c r="R3906"/>
      <c r="S3906"/>
      <c r="T3906"/>
    </row>
    <row r="3907" spans="1:20" ht="17.25" customHeight="1">
      <c r="A3907"/>
      <c r="B3907"/>
      <c r="P3907"/>
      <c r="R3907"/>
      <c r="S3907"/>
      <c r="T3907"/>
    </row>
    <row r="3908" spans="1:20" ht="17.25" customHeight="1">
      <c r="A3908"/>
      <c r="B3908"/>
      <c r="P3908"/>
      <c r="R3908"/>
      <c r="S3908"/>
      <c r="T3908"/>
    </row>
    <row r="3909" spans="1:20" ht="17.25" customHeight="1">
      <c r="A3909"/>
      <c r="B3909"/>
      <c r="P3909"/>
      <c r="R3909"/>
      <c r="S3909"/>
      <c r="T3909"/>
    </row>
    <row r="3910" spans="1:20" ht="17.25" customHeight="1">
      <c r="A3910"/>
      <c r="B3910"/>
      <c r="P3910"/>
      <c r="R3910"/>
      <c r="S3910"/>
      <c r="T3910"/>
    </row>
    <row r="3911" spans="1:20" ht="17.25" customHeight="1">
      <c r="A3911"/>
      <c r="B3911"/>
      <c r="P3911"/>
      <c r="R3911"/>
      <c r="S3911"/>
      <c r="T3911"/>
    </row>
    <row r="3912" spans="1:20" ht="17.25" customHeight="1">
      <c r="A3912"/>
      <c r="B3912"/>
      <c r="P3912"/>
      <c r="R3912"/>
      <c r="S3912"/>
      <c r="T3912"/>
    </row>
    <row r="3913" spans="1:20" ht="17.25" customHeight="1">
      <c r="A3913"/>
      <c r="B3913"/>
      <c r="P3913"/>
      <c r="R3913"/>
      <c r="S3913"/>
      <c r="T3913"/>
    </row>
    <row r="3914" spans="1:20" ht="17.25" customHeight="1">
      <c r="A3914"/>
      <c r="B3914"/>
      <c r="P3914"/>
      <c r="R3914"/>
      <c r="S3914"/>
      <c r="T3914"/>
    </row>
    <row r="3915" spans="1:20" ht="17.25" customHeight="1">
      <c r="A3915"/>
      <c r="B3915"/>
      <c r="P3915"/>
      <c r="R3915"/>
      <c r="S3915"/>
      <c r="T3915"/>
    </row>
    <row r="3916" spans="1:20" ht="17.25" customHeight="1">
      <c r="A3916"/>
      <c r="B3916"/>
      <c r="P3916"/>
      <c r="R3916"/>
      <c r="S3916"/>
      <c r="T3916"/>
    </row>
    <row r="3917" spans="1:20" ht="17.25" customHeight="1">
      <c r="A3917"/>
      <c r="B3917"/>
      <c r="P3917"/>
      <c r="R3917"/>
      <c r="S3917"/>
      <c r="T3917"/>
    </row>
    <row r="3918" spans="1:20" ht="17.25" customHeight="1">
      <c r="A3918"/>
      <c r="B3918"/>
      <c r="P3918"/>
      <c r="R3918"/>
      <c r="S3918"/>
      <c r="T3918"/>
    </row>
    <row r="3919" spans="1:20" ht="17.25" customHeight="1">
      <c r="A3919"/>
      <c r="B3919"/>
      <c r="P3919"/>
      <c r="R3919"/>
      <c r="S3919"/>
      <c r="T3919"/>
    </row>
    <row r="3920" spans="1:20" ht="17.25" customHeight="1">
      <c r="A3920"/>
      <c r="B3920"/>
      <c r="P3920"/>
      <c r="R3920"/>
      <c r="S3920"/>
      <c r="T3920"/>
    </row>
    <row r="3921" spans="1:20" ht="17.25" customHeight="1">
      <c r="A3921"/>
      <c r="B3921"/>
      <c r="P3921"/>
      <c r="R3921"/>
      <c r="S3921"/>
      <c r="T3921"/>
    </row>
    <row r="3922" spans="1:20" ht="17.25" customHeight="1">
      <c r="A3922"/>
      <c r="B3922"/>
      <c r="P3922"/>
      <c r="R3922"/>
      <c r="S3922"/>
      <c r="T3922"/>
    </row>
    <row r="3923" spans="1:20" ht="17.25" customHeight="1">
      <c r="A3923"/>
      <c r="B3923"/>
      <c r="P3923"/>
      <c r="R3923"/>
      <c r="S3923"/>
      <c r="T3923"/>
    </row>
    <row r="3924" spans="1:20" ht="17.25" customHeight="1">
      <c r="A3924"/>
      <c r="B3924"/>
      <c r="P3924"/>
      <c r="R3924"/>
      <c r="S3924"/>
      <c r="T3924"/>
    </row>
    <row r="3925" spans="1:20" ht="17.25" customHeight="1">
      <c r="A3925"/>
      <c r="B3925"/>
      <c r="P3925"/>
      <c r="R3925"/>
      <c r="S3925"/>
      <c r="T3925"/>
    </row>
    <row r="3926" spans="1:20" ht="17.25" customHeight="1">
      <c r="A3926"/>
      <c r="B3926"/>
      <c r="P3926"/>
      <c r="R3926"/>
      <c r="S3926"/>
      <c r="T3926"/>
    </row>
    <row r="3927" spans="1:20" ht="17.25" customHeight="1">
      <c r="A3927"/>
      <c r="B3927"/>
      <c r="P3927"/>
      <c r="R3927"/>
      <c r="S3927"/>
      <c r="T3927"/>
    </row>
    <row r="3928" spans="1:20" ht="17.25" customHeight="1">
      <c r="A3928"/>
      <c r="B3928"/>
      <c r="P3928"/>
      <c r="R3928"/>
      <c r="S3928"/>
      <c r="T3928"/>
    </row>
    <row r="3929" spans="1:20" ht="17.25" customHeight="1">
      <c r="A3929"/>
      <c r="B3929"/>
      <c r="P3929"/>
      <c r="R3929"/>
      <c r="S3929"/>
      <c r="T3929"/>
    </row>
    <row r="3930" spans="1:20" ht="17.25" customHeight="1">
      <c r="A3930"/>
      <c r="B3930"/>
      <c r="P3930"/>
      <c r="R3930"/>
      <c r="S3930"/>
      <c r="T3930"/>
    </row>
    <row r="3931" spans="1:20" ht="17.25" customHeight="1">
      <c r="A3931"/>
      <c r="B3931"/>
      <c r="P3931"/>
      <c r="R3931"/>
      <c r="S3931"/>
      <c r="T3931"/>
    </row>
    <row r="3932" spans="1:20" ht="17.25" customHeight="1">
      <c r="A3932"/>
      <c r="B3932"/>
      <c r="P3932"/>
      <c r="R3932"/>
      <c r="S3932"/>
      <c r="T3932"/>
    </row>
    <row r="3933" spans="1:20" ht="17.25" customHeight="1">
      <c r="A3933"/>
      <c r="B3933"/>
      <c r="P3933"/>
      <c r="R3933"/>
      <c r="S3933"/>
      <c r="T3933"/>
    </row>
    <row r="3934" spans="1:20" ht="17.25" customHeight="1">
      <c r="A3934"/>
      <c r="B3934"/>
      <c r="P3934"/>
      <c r="R3934"/>
      <c r="S3934"/>
      <c r="T3934"/>
    </row>
    <row r="3935" spans="1:20" ht="17.25" customHeight="1">
      <c r="A3935"/>
      <c r="B3935"/>
      <c r="P3935"/>
      <c r="R3935"/>
      <c r="S3935"/>
      <c r="T3935"/>
    </row>
    <row r="3936" spans="1:20" ht="17.25" customHeight="1">
      <c r="A3936"/>
      <c r="B3936"/>
      <c r="P3936"/>
      <c r="R3936"/>
      <c r="S3936"/>
      <c r="T3936"/>
    </row>
    <row r="3937" spans="1:20" ht="17.25" customHeight="1">
      <c r="A3937"/>
      <c r="B3937"/>
      <c r="P3937"/>
      <c r="R3937"/>
      <c r="S3937"/>
      <c r="T3937"/>
    </row>
    <row r="3938" spans="1:20" ht="17.25" customHeight="1">
      <c r="A3938"/>
      <c r="B3938"/>
      <c r="P3938"/>
      <c r="R3938"/>
      <c r="S3938"/>
      <c r="T3938"/>
    </row>
    <row r="3939" spans="1:20" ht="17.25" customHeight="1">
      <c r="A3939"/>
      <c r="B3939"/>
      <c r="P3939"/>
      <c r="R3939"/>
      <c r="S3939"/>
      <c r="T3939"/>
    </row>
    <row r="3940" spans="1:20" ht="17.25" customHeight="1">
      <c r="A3940"/>
      <c r="B3940"/>
      <c r="P3940"/>
      <c r="R3940"/>
      <c r="S3940"/>
      <c r="T3940"/>
    </row>
    <row r="3941" spans="1:20" ht="17.25" customHeight="1">
      <c r="A3941"/>
      <c r="B3941"/>
      <c r="P3941"/>
      <c r="R3941"/>
      <c r="S3941"/>
      <c r="T3941"/>
    </row>
    <row r="3942" spans="1:20" ht="17.25" customHeight="1">
      <c r="A3942"/>
      <c r="B3942"/>
      <c r="P3942"/>
      <c r="R3942"/>
      <c r="S3942"/>
      <c r="T3942"/>
    </row>
    <row r="3943" spans="1:20" ht="17.25" customHeight="1">
      <c r="A3943"/>
      <c r="B3943"/>
      <c r="P3943"/>
      <c r="R3943"/>
      <c r="S3943"/>
      <c r="T3943"/>
    </row>
    <row r="3944" spans="1:20" ht="17.25" customHeight="1">
      <c r="A3944"/>
      <c r="B3944"/>
      <c r="P3944"/>
      <c r="R3944"/>
      <c r="S3944"/>
      <c r="T3944"/>
    </row>
    <row r="3945" spans="1:20" ht="17.25" customHeight="1">
      <c r="A3945"/>
      <c r="B3945"/>
      <c r="P3945"/>
      <c r="R3945"/>
      <c r="S3945"/>
      <c r="T3945"/>
    </row>
    <row r="3946" spans="1:20" ht="17.25" customHeight="1">
      <c r="A3946"/>
      <c r="B3946"/>
      <c r="P3946"/>
      <c r="R3946"/>
      <c r="S3946"/>
      <c r="T3946"/>
    </row>
    <row r="3947" spans="1:20" ht="17.25" customHeight="1">
      <c r="A3947"/>
      <c r="B3947"/>
      <c r="P3947"/>
      <c r="R3947"/>
      <c r="S3947"/>
      <c r="T3947"/>
    </row>
    <row r="3948" spans="1:20" ht="17.25" customHeight="1">
      <c r="A3948"/>
      <c r="B3948"/>
      <c r="P3948"/>
      <c r="R3948"/>
      <c r="S3948"/>
      <c r="T3948"/>
    </row>
    <row r="3949" spans="1:20" ht="17.25" customHeight="1">
      <c r="A3949"/>
      <c r="B3949"/>
      <c r="P3949"/>
      <c r="R3949"/>
      <c r="S3949"/>
      <c r="T3949"/>
    </row>
    <row r="3950" spans="1:20" ht="17.25" customHeight="1">
      <c r="A3950"/>
      <c r="B3950"/>
      <c r="P3950"/>
      <c r="R3950"/>
      <c r="S3950"/>
      <c r="T3950"/>
    </row>
    <row r="3951" spans="1:20" ht="17.25" customHeight="1">
      <c r="A3951"/>
      <c r="B3951"/>
      <c r="P3951"/>
      <c r="R3951"/>
      <c r="S3951"/>
      <c r="T3951"/>
    </row>
    <row r="3952" spans="1:20" ht="17.25" customHeight="1">
      <c r="A3952"/>
      <c r="B3952"/>
      <c r="P3952"/>
      <c r="R3952"/>
      <c r="S3952"/>
      <c r="T3952"/>
    </row>
    <row r="3953" spans="1:20" ht="17.25" customHeight="1">
      <c r="A3953"/>
      <c r="B3953"/>
      <c r="P3953"/>
      <c r="R3953"/>
      <c r="S3953"/>
      <c r="T3953"/>
    </row>
    <row r="3954" spans="1:20" ht="17.25" customHeight="1">
      <c r="A3954"/>
      <c r="B3954"/>
      <c r="P3954"/>
      <c r="R3954"/>
      <c r="S3954"/>
      <c r="T3954"/>
    </row>
    <row r="3955" spans="1:20" ht="17.25" customHeight="1">
      <c r="A3955"/>
      <c r="B3955"/>
      <c r="P3955"/>
      <c r="R3955"/>
      <c r="S3955"/>
      <c r="T3955"/>
    </row>
    <row r="3956" spans="1:20" ht="17.25" customHeight="1">
      <c r="A3956"/>
      <c r="B3956"/>
      <c r="P3956"/>
      <c r="R3956"/>
      <c r="S3956"/>
      <c r="T3956"/>
    </row>
    <row r="3957" spans="1:20" ht="17.25" customHeight="1">
      <c r="A3957"/>
      <c r="B3957"/>
      <c r="P3957"/>
      <c r="R3957"/>
      <c r="S3957"/>
      <c r="T3957"/>
    </row>
    <row r="3958" spans="1:20" ht="17.25" customHeight="1">
      <c r="A3958"/>
      <c r="B3958"/>
      <c r="P3958"/>
      <c r="R3958"/>
      <c r="S3958"/>
      <c r="T3958"/>
    </row>
    <row r="3959" spans="1:20" ht="17.25" customHeight="1">
      <c r="A3959"/>
      <c r="B3959"/>
      <c r="P3959"/>
      <c r="R3959"/>
      <c r="S3959"/>
      <c r="T3959"/>
    </row>
    <row r="3960" spans="1:20" ht="17.25" customHeight="1">
      <c r="A3960"/>
      <c r="B3960"/>
      <c r="P3960"/>
      <c r="R3960"/>
      <c r="S3960"/>
      <c r="T3960"/>
    </row>
    <row r="3961" spans="1:20" ht="17.25" customHeight="1">
      <c r="A3961"/>
      <c r="B3961"/>
      <c r="P3961"/>
      <c r="R3961"/>
      <c r="S3961"/>
      <c r="T3961"/>
    </row>
    <row r="3962" spans="1:20" ht="17.25" customHeight="1">
      <c r="A3962"/>
      <c r="B3962"/>
      <c r="P3962"/>
      <c r="R3962"/>
      <c r="S3962"/>
      <c r="T3962"/>
    </row>
    <row r="3963" spans="1:20" ht="17.25" customHeight="1">
      <c r="A3963"/>
      <c r="B3963"/>
      <c r="P3963"/>
      <c r="R3963"/>
      <c r="S3963"/>
      <c r="T3963"/>
    </row>
    <row r="3964" spans="1:20" ht="17.25" customHeight="1">
      <c r="A3964"/>
      <c r="B3964"/>
      <c r="P3964"/>
      <c r="R3964"/>
      <c r="S3964"/>
      <c r="T3964"/>
    </row>
    <row r="3965" spans="1:20" ht="17.25" customHeight="1">
      <c r="A3965"/>
      <c r="B3965"/>
      <c r="P3965"/>
      <c r="R3965"/>
      <c r="S3965"/>
      <c r="T3965"/>
    </row>
    <row r="3966" spans="1:20" ht="17.25" customHeight="1">
      <c r="A3966"/>
      <c r="B3966"/>
      <c r="P3966"/>
      <c r="R3966"/>
      <c r="S3966"/>
      <c r="T3966"/>
    </row>
    <row r="3967" spans="1:20" ht="17.25" customHeight="1">
      <c r="A3967"/>
      <c r="B3967"/>
      <c r="P3967"/>
      <c r="R3967"/>
      <c r="S3967"/>
      <c r="T3967"/>
    </row>
    <row r="3968" spans="1:20" ht="17.25" customHeight="1">
      <c r="A3968"/>
      <c r="B3968"/>
      <c r="P3968"/>
      <c r="R3968"/>
      <c r="S3968"/>
      <c r="T3968"/>
    </row>
    <row r="3969" spans="1:20" ht="17.25" customHeight="1">
      <c r="A3969"/>
      <c r="B3969"/>
      <c r="P3969"/>
      <c r="R3969"/>
      <c r="S3969"/>
      <c r="T3969"/>
    </row>
    <row r="3970" spans="1:20" ht="17.25" customHeight="1">
      <c r="A3970"/>
      <c r="B3970"/>
      <c r="P3970"/>
      <c r="R3970"/>
      <c r="S3970"/>
      <c r="T3970"/>
    </row>
    <row r="3971" spans="1:20" ht="17.25" customHeight="1">
      <c r="A3971"/>
      <c r="B3971"/>
      <c r="P3971"/>
      <c r="R3971"/>
      <c r="S3971"/>
      <c r="T3971"/>
    </row>
    <row r="3972" spans="1:20" ht="17.25" customHeight="1">
      <c r="A3972"/>
      <c r="B3972"/>
      <c r="P3972"/>
      <c r="R3972"/>
      <c r="S3972"/>
      <c r="T3972"/>
    </row>
    <row r="3973" spans="1:20" ht="17.25" customHeight="1">
      <c r="A3973"/>
      <c r="B3973"/>
      <c r="P3973"/>
      <c r="R3973"/>
      <c r="S3973"/>
      <c r="T3973"/>
    </row>
    <row r="3974" spans="1:20" ht="17.25" customHeight="1">
      <c r="A3974"/>
      <c r="B3974"/>
      <c r="P3974"/>
      <c r="R3974"/>
      <c r="S3974"/>
      <c r="T3974"/>
    </row>
    <row r="3975" spans="1:20" ht="17.25" customHeight="1">
      <c r="A3975"/>
      <c r="B3975"/>
      <c r="P3975"/>
      <c r="R3975"/>
      <c r="S3975"/>
      <c r="T3975"/>
    </row>
    <row r="3976" spans="1:20" ht="17.25" customHeight="1">
      <c r="A3976"/>
      <c r="B3976"/>
      <c r="P3976"/>
      <c r="R3976"/>
      <c r="S3976"/>
      <c r="T3976"/>
    </row>
    <row r="3977" spans="1:20" ht="17.25" customHeight="1">
      <c r="A3977"/>
      <c r="B3977"/>
      <c r="P3977"/>
      <c r="R3977"/>
      <c r="S3977"/>
      <c r="T3977"/>
    </row>
    <row r="3978" spans="1:20" ht="17.25" customHeight="1">
      <c r="A3978"/>
      <c r="B3978"/>
      <c r="P3978"/>
      <c r="R3978"/>
      <c r="S3978"/>
      <c r="T3978"/>
    </row>
    <row r="3979" spans="1:20" ht="17.25" customHeight="1">
      <c r="A3979"/>
      <c r="B3979"/>
      <c r="P3979"/>
      <c r="R3979"/>
      <c r="S3979"/>
      <c r="T3979"/>
    </row>
    <row r="3980" spans="1:20" ht="17.25" customHeight="1">
      <c r="A3980"/>
      <c r="B3980"/>
      <c r="P3980"/>
      <c r="R3980"/>
      <c r="S3980"/>
      <c r="T3980"/>
    </row>
    <row r="3981" spans="1:20" ht="17.25" customHeight="1">
      <c r="A3981"/>
      <c r="B3981"/>
      <c r="P3981"/>
      <c r="R3981"/>
      <c r="S3981"/>
      <c r="T3981"/>
    </row>
    <row r="3982" spans="1:20" ht="17.25" customHeight="1">
      <c r="A3982"/>
      <c r="B3982"/>
      <c r="P3982"/>
      <c r="R3982"/>
      <c r="S3982"/>
      <c r="T3982"/>
    </row>
    <row r="3983" spans="1:20" ht="17.25" customHeight="1">
      <c r="A3983"/>
      <c r="B3983"/>
      <c r="P3983"/>
      <c r="R3983"/>
      <c r="S3983"/>
      <c r="T3983"/>
    </row>
    <row r="3984" spans="1:20" ht="17.25" customHeight="1">
      <c r="A3984"/>
      <c r="B3984"/>
      <c r="P3984"/>
      <c r="R3984"/>
      <c r="S3984"/>
      <c r="T3984"/>
    </row>
    <row r="3985" spans="1:20" ht="17.25" customHeight="1">
      <c r="A3985"/>
      <c r="B3985"/>
      <c r="P3985"/>
      <c r="R3985"/>
      <c r="S3985"/>
      <c r="T3985"/>
    </row>
    <row r="3986" spans="1:20" ht="17.25" customHeight="1">
      <c r="A3986"/>
      <c r="B3986"/>
      <c r="P3986"/>
      <c r="R3986"/>
      <c r="S3986"/>
      <c r="T3986"/>
    </row>
    <row r="3987" spans="1:20" ht="17.25" customHeight="1">
      <c r="A3987"/>
      <c r="B3987"/>
      <c r="P3987"/>
      <c r="R3987"/>
      <c r="S3987"/>
      <c r="T3987"/>
    </row>
    <row r="3988" spans="1:20" ht="17.25" customHeight="1">
      <c r="A3988"/>
      <c r="B3988"/>
      <c r="P3988"/>
      <c r="R3988"/>
      <c r="S3988"/>
      <c r="T3988"/>
    </row>
    <row r="3989" spans="1:20" ht="17.25" customHeight="1">
      <c r="A3989"/>
      <c r="B3989"/>
      <c r="P3989"/>
      <c r="R3989"/>
      <c r="S3989"/>
      <c r="T3989"/>
    </row>
    <row r="3990" spans="1:20" ht="17.25" customHeight="1">
      <c r="A3990"/>
      <c r="B3990"/>
      <c r="P3990"/>
      <c r="R3990"/>
      <c r="S3990"/>
      <c r="T3990"/>
    </row>
    <row r="3991" spans="1:20" ht="17.25" customHeight="1">
      <c r="A3991"/>
      <c r="B3991"/>
      <c r="P3991"/>
      <c r="R3991"/>
      <c r="S3991"/>
      <c r="T3991"/>
    </row>
    <row r="3992" spans="1:20" ht="17.25" customHeight="1">
      <c r="A3992"/>
      <c r="B3992"/>
      <c r="P3992"/>
      <c r="R3992"/>
      <c r="S3992"/>
      <c r="T3992"/>
    </row>
    <row r="3993" spans="1:20" ht="17.25" customHeight="1">
      <c r="A3993"/>
      <c r="B3993"/>
      <c r="P3993"/>
      <c r="R3993"/>
      <c r="S3993"/>
      <c r="T3993"/>
    </row>
    <row r="3994" spans="1:20" ht="17.25" customHeight="1">
      <c r="A3994"/>
      <c r="B3994"/>
      <c r="P3994"/>
      <c r="R3994"/>
      <c r="S3994"/>
      <c r="T3994"/>
    </row>
    <row r="3995" spans="1:20" ht="17.25" customHeight="1">
      <c r="A3995"/>
      <c r="B3995"/>
      <c r="P3995"/>
      <c r="R3995"/>
      <c r="S3995"/>
      <c r="T3995"/>
    </row>
    <row r="3996" spans="1:20" ht="17.25" customHeight="1">
      <c r="A3996"/>
      <c r="B3996"/>
      <c r="P3996"/>
      <c r="R3996"/>
      <c r="S3996"/>
      <c r="T3996"/>
    </row>
    <row r="3997" spans="1:20" ht="17.25" customHeight="1">
      <c r="A3997"/>
      <c r="B3997"/>
      <c r="P3997"/>
      <c r="R3997"/>
      <c r="S3997"/>
      <c r="T3997"/>
    </row>
    <row r="3998" spans="1:20" ht="17.25" customHeight="1">
      <c r="A3998"/>
      <c r="B3998"/>
      <c r="P3998"/>
      <c r="R3998"/>
      <c r="S3998"/>
      <c r="T3998"/>
    </row>
    <row r="3999" spans="1:20" ht="17.25" customHeight="1">
      <c r="A3999"/>
      <c r="B3999"/>
      <c r="P3999"/>
      <c r="R3999"/>
      <c r="S3999"/>
      <c r="T3999"/>
    </row>
    <row r="4000" spans="1:20" ht="17.25" customHeight="1">
      <c r="A4000"/>
      <c r="B4000"/>
      <c r="P4000"/>
      <c r="R4000"/>
      <c r="S4000"/>
      <c r="T4000"/>
    </row>
    <row r="4001" spans="1:20" ht="17.25" customHeight="1">
      <c r="A4001"/>
      <c r="B4001"/>
      <c r="P4001"/>
      <c r="R4001"/>
      <c r="S4001"/>
      <c r="T4001"/>
    </row>
    <row r="4002" spans="1:20" ht="17.25" customHeight="1">
      <c r="A4002"/>
      <c r="B4002"/>
      <c r="P4002"/>
      <c r="R4002"/>
      <c r="S4002"/>
      <c r="T4002"/>
    </row>
    <row r="4003" spans="1:20" ht="17.25" customHeight="1">
      <c r="A4003"/>
      <c r="B4003"/>
      <c r="P4003"/>
      <c r="R4003"/>
      <c r="S4003"/>
      <c r="T4003"/>
    </row>
    <row r="4004" spans="1:20" ht="17.25" customHeight="1">
      <c r="A4004"/>
      <c r="B4004"/>
      <c r="P4004"/>
      <c r="R4004"/>
      <c r="S4004"/>
      <c r="T4004"/>
    </row>
    <row r="4005" spans="1:20" ht="17.25" customHeight="1">
      <c r="A4005"/>
      <c r="B4005"/>
      <c r="P4005"/>
      <c r="R4005"/>
      <c r="S4005"/>
      <c r="T4005"/>
    </row>
    <row r="4006" spans="1:20" ht="17.25" customHeight="1">
      <c r="A4006"/>
      <c r="B4006"/>
      <c r="P4006"/>
      <c r="R4006"/>
      <c r="S4006"/>
      <c r="T4006"/>
    </row>
    <row r="4007" spans="1:20" ht="17.25" customHeight="1">
      <c r="A4007"/>
      <c r="B4007"/>
      <c r="P4007"/>
      <c r="R4007"/>
      <c r="S4007"/>
      <c r="T4007"/>
    </row>
    <row r="4008" spans="1:20" ht="17.25" customHeight="1">
      <c r="A4008"/>
      <c r="B4008"/>
      <c r="P4008"/>
      <c r="R4008"/>
      <c r="S4008"/>
      <c r="T4008"/>
    </row>
    <row r="4009" spans="1:20" ht="17.25" customHeight="1">
      <c r="A4009"/>
      <c r="B4009"/>
      <c r="P4009"/>
      <c r="R4009"/>
      <c r="S4009"/>
      <c r="T4009"/>
    </row>
    <row r="4010" spans="1:20" ht="17.25" customHeight="1">
      <c r="A4010"/>
      <c r="B4010"/>
      <c r="P4010"/>
      <c r="R4010"/>
      <c r="S4010"/>
      <c r="T4010"/>
    </row>
    <row r="4011" spans="1:20" ht="17.25" customHeight="1">
      <c r="A4011"/>
      <c r="B4011"/>
      <c r="P4011"/>
      <c r="R4011"/>
      <c r="S4011"/>
      <c r="T4011"/>
    </row>
    <row r="4012" spans="1:20" ht="17.25" customHeight="1">
      <c r="A4012"/>
      <c r="B4012"/>
      <c r="P4012"/>
      <c r="R4012"/>
      <c r="S4012"/>
      <c r="T4012"/>
    </row>
    <row r="4013" spans="1:20" ht="17.25" customHeight="1">
      <c r="A4013"/>
      <c r="B4013"/>
      <c r="P4013"/>
      <c r="R4013"/>
      <c r="S4013"/>
      <c r="T4013"/>
    </row>
    <row r="4014" spans="1:20" ht="17.25" customHeight="1">
      <c r="A4014"/>
      <c r="B4014"/>
      <c r="P4014"/>
      <c r="R4014"/>
      <c r="S4014"/>
      <c r="T4014"/>
    </row>
    <row r="4015" spans="1:20" ht="17.25" customHeight="1">
      <c r="A4015"/>
      <c r="B4015"/>
      <c r="P4015"/>
      <c r="R4015"/>
      <c r="S4015"/>
      <c r="T4015"/>
    </row>
    <row r="4016" spans="1:20" ht="17.25" customHeight="1">
      <c r="A4016"/>
      <c r="B4016"/>
      <c r="P4016"/>
      <c r="R4016"/>
      <c r="S4016"/>
      <c r="T4016"/>
    </row>
    <row r="4017" spans="1:20" ht="17.25" customHeight="1">
      <c r="A4017"/>
      <c r="B4017"/>
      <c r="P4017"/>
      <c r="R4017"/>
      <c r="S4017"/>
      <c r="T4017"/>
    </row>
    <row r="4018" spans="1:20" ht="17.25" customHeight="1">
      <c r="A4018"/>
      <c r="B4018"/>
      <c r="P4018"/>
      <c r="R4018"/>
      <c r="S4018"/>
      <c r="T4018"/>
    </row>
    <row r="4019" spans="1:20" ht="17.25" customHeight="1">
      <c r="A4019"/>
      <c r="B4019"/>
      <c r="P4019"/>
      <c r="R4019"/>
      <c r="S4019"/>
      <c r="T4019"/>
    </row>
    <row r="4020" spans="1:20" ht="17.25" customHeight="1">
      <c r="A4020"/>
      <c r="B4020"/>
      <c r="P4020"/>
      <c r="R4020"/>
      <c r="S4020"/>
      <c r="T4020"/>
    </row>
    <row r="4021" spans="1:20" ht="17.25" customHeight="1">
      <c r="A4021"/>
      <c r="B4021"/>
      <c r="P4021"/>
      <c r="R4021"/>
      <c r="S4021"/>
      <c r="T4021"/>
    </row>
    <row r="4022" spans="1:20" ht="17.25" customHeight="1">
      <c r="A4022"/>
      <c r="B4022"/>
      <c r="P4022"/>
      <c r="R4022"/>
      <c r="S4022"/>
      <c r="T4022"/>
    </row>
    <row r="4023" spans="1:20" ht="17.25" customHeight="1">
      <c r="A4023"/>
      <c r="B4023"/>
      <c r="P4023"/>
      <c r="R4023"/>
      <c r="S4023"/>
      <c r="T4023"/>
    </row>
    <row r="4024" spans="1:20" ht="17.25" customHeight="1">
      <c r="A4024"/>
      <c r="B4024"/>
      <c r="P4024"/>
      <c r="R4024"/>
      <c r="S4024"/>
      <c r="T4024"/>
    </row>
    <row r="4025" spans="1:20" ht="17.25" customHeight="1">
      <c r="A4025"/>
      <c r="B4025"/>
      <c r="P4025"/>
      <c r="R4025"/>
      <c r="S4025"/>
      <c r="T4025"/>
    </row>
    <row r="4026" spans="1:20" ht="17.25" customHeight="1">
      <c r="A4026"/>
      <c r="B4026"/>
      <c r="P4026"/>
      <c r="R4026"/>
      <c r="S4026"/>
      <c r="T4026"/>
    </row>
    <row r="4027" spans="1:20" ht="17.25" customHeight="1">
      <c r="A4027"/>
      <c r="B4027"/>
      <c r="P4027"/>
      <c r="R4027"/>
      <c r="S4027"/>
      <c r="T4027"/>
    </row>
    <row r="4028" spans="1:20" ht="17.25" customHeight="1">
      <c r="A4028"/>
      <c r="B4028"/>
      <c r="P4028"/>
      <c r="R4028"/>
      <c r="S4028"/>
      <c r="T4028"/>
    </row>
    <row r="4029" spans="1:20" ht="17.25" customHeight="1">
      <c r="A4029"/>
      <c r="B4029"/>
      <c r="P4029"/>
      <c r="R4029"/>
      <c r="S4029"/>
      <c r="T4029"/>
    </row>
    <row r="4030" spans="1:20" ht="17.25" customHeight="1">
      <c r="A4030"/>
      <c r="B4030"/>
      <c r="P4030"/>
      <c r="R4030"/>
      <c r="S4030"/>
      <c r="T4030"/>
    </row>
    <row r="4031" spans="1:20" ht="17.25" customHeight="1">
      <c r="A4031"/>
      <c r="B4031"/>
      <c r="P4031"/>
      <c r="R4031"/>
      <c r="S4031"/>
      <c r="T4031"/>
    </row>
    <row r="4032" spans="1:20" ht="17.25" customHeight="1">
      <c r="A4032"/>
      <c r="B4032"/>
      <c r="P4032"/>
      <c r="R4032"/>
      <c r="S4032"/>
      <c r="T4032"/>
    </row>
    <row r="4033" spans="1:20" ht="17.25" customHeight="1">
      <c r="A4033"/>
      <c r="B4033"/>
      <c r="P4033"/>
      <c r="R4033"/>
      <c r="S4033"/>
      <c r="T4033"/>
    </row>
    <row r="4034" spans="1:20" ht="17.25" customHeight="1">
      <c r="A4034"/>
      <c r="B4034"/>
      <c r="P4034"/>
      <c r="R4034"/>
      <c r="S4034"/>
      <c r="T4034"/>
    </row>
    <row r="4035" spans="1:20" ht="17.25" customHeight="1">
      <c r="A4035"/>
      <c r="B4035"/>
      <c r="P4035"/>
      <c r="R4035"/>
      <c r="S4035"/>
      <c r="T4035"/>
    </row>
    <row r="4036" spans="1:20" ht="17.25" customHeight="1">
      <c r="A4036"/>
      <c r="B4036"/>
      <c r="P4036"/>
      <c r="R4036"/>
      <c r="S4036"/>
      <c r="T4036"/>
    </row>
    <row r="4037" spans="1:20" ht="17.25" customHeight="1">
      <c r="A4037"/>
      <c r="B4037"/>
      <c r="P4037"/>
      <c r="R4037"/>
      <c r="S4037"/>
      <c r="T4037"/>
    </row>
    <row r="4038" spans="1:20" ht="17.25" customHeight="1">
      <c r="A4038"/>
      <c r="B4038"/>
      <c r="P4038"/>
      <c r="R4038"/>
      <c r="S4038"/>
      <c r="T4038"/>
    </row>
    <row r="4039" spans="1:20" ht="17.25" customHeight="1">
      <c r="A4039"/>
      <c r="B4039"/>
      <c r="P4039"/>
      <c r="R4039"/>
      <c r="S4039"/>
      <c r="T4039"/>
    </row>
    <row r="4040" spans="1:20" ht="17.25" customHeight="1">
      <c r="A4040"/>
      <c r="B4040"/>
      <c r="P4040"/>
      <c r="R4040"/>
      <c r="S4040"/>
      <c r="T4040"/>
    </row>
    <row r="4041" spans="1:20" ht="17.25" customHeight="1">
      <c r="A4041"/>
      <c r="B4041"/>
      <c r="P4041"/>
      <c r="R4041"/>
      <c r="S4041"/>
      <c r="T4041"/>
    </row>
    <row r="4042" spans="1:20" ht="17.25" customHeight="1">
      <c r="A4042"/>
      <c r="B4042"/>
      <c r="P4042"/>
      <c r="R4042"/>
      <c r="S4042"/>
      <c r="T4042"/>
    </row>
    <row r="4043" spans="1:20" ht="17.25" customHeight="1">
      <c r="A4043"/>
      <c r="B4043"/>
      <c r="P4043"/>
      <c r="R4043"/>
      <c r="S4043"/>
      <c r="T4043"/>
    </row>
    <row r="4044" spans="1:20" ht="17.25" customHeight="1">
      <c r="A4044"/>
      <c r="B4044"/>
      <c r="P4044"/>
      <c r="R4044"/>
      <c r="S4044"/>
      <c r="T4044"/>
    </row>
    <row r="4045" spans="1:20" ht="17.25" customHeight="1">
      <c r="A4045"/>
      <c r="B4045"/>
      <c r="P4045"/>
      <c r="R4045"/>
      <c r="S4045"/>
      <c r="T4045"/>
    </row>
    <row r="4046" spans="1:20" ht="17.25" customHeight="1">
      <c r="A4046"/>
      <c r="B4046"/>
      <c r="P4046"/>
      <c r="R4046"/>
      <c r="S4046"/>
      <c r="T4046"/>
    </row>
    <row r="4047" spans="1:20" ht="17.25" customHeight="1">
      <c r="A4047"/>
      <c r="B4047"/>
      <c r="P4047"/>
      <c r="R4047"/>
      <c r="S4047"/>
      <c r="T4047"/>
    </row>
    <row r="4048" spans="1:20" ht="17.25" customHeight="1">
      <c r="A4048"/>
      <c r="B4048"/>
      <c r="P4048"/>
      <c r="R4048"/>
      <c r="S4048"/>
      <c r="T4048"/>
    </row>
    <row r="4049" spans="1:20" ht="17.25" customHeight="1">
      <c r="A4049"/>
      <c r="B4049"/>
      <c r="P4049"/>
      <c r="R4049"/>
      <c r="S4049"/>
      <c r="T4049"/>
    </row>
    <row r="4050" spans="1:20" ht="17.25" customHeight="1">
      <c r="A4050"/>
      <c r="B4050"/>
      <c r="P4050"/>
      <c r="R4050"/>
      <c r="S4050"/>
      <c r="T4050"/>
    </row>
    <row r="4051" spans="1:20" ht="17.25" customHeight="1">
      <c r="A4051"/>
      <c r="B4051"/>
      <c r="P4051"/>
      <c r="R4051"/>
      <c r="S4051"/>
      <c r="T4051"/>
    </row>
    <row r="4052" spans="1:20" ht="17.25" customHeight="1">
      <c r="A4052"/>
      <c r="B4052"/>
      <c r="P4052"/>
      <c r="R4052"/>
      <c r="S4052"/>
      <c r="T4052"/>
    </row>
    <row r="4053" spans="1:20" ht="17.25" customHeight="1">
      <c r="A4053"/>
      <c r="B4053"/>
      <c r="P4053"/>
      <c r="R4053"/>
      <c r="S4053"/>
      <c r="T4053"/>
    </row>
    <row r="4054" spans="1:20" ht="17.25" customHeight="1">
      <c r="A4054"/>
      <c r="B4054"/>
      <c r="P4054"/>
      <c r="R4054"/>
      <c r="S4054"/>
      <c r="T4054"/>
    </row>
    <row r="4055" spans="1:20" ht="17.25" customHeight="1">
      <c r="A4055"/>
      <c r="B4055"/>
      <c r="P4055"/>
      <c r="R4055"/>
      <c r="S4055"/>
      <c r="T4055"/>
    </row>
    <row r="4056" spans="1:20" ht="17.25" customHeight="1">
      <c r="A4056"/>
      <c r="B4056"/>
      <c r="P4056"/>
      <c r="R4056"/>
      <c r="S4056"/>
      <c r="T4056"/>
    </row>
    <row r="4057" spans="1:20" ht="17.25" customHeight="1">
      <c r="A4057"/>
      <c r="B4057"/>
      <c r="P4057"/>
      <c r="R4057"/>
      <c r="S4057"/>
      <c r="T4057"/>
    </row>
    <row r="4058" spans="1:20" ht="17.25" customHeight="1">
      <c r="A4058"/>
      <c r="B4058"/>
      <c r="P4058"/>
      <c r="R4058"/>
      <c r="S4058"/>
      <c r="T4058"/>
    </row>
    <row r="4059" spans="1:20" ht="17.25" customHeight="1">
      <c r="A4059"/>
      <c r="B4059"/>
      <c r="P4059"/>
      <c r="R4059"/>
      <c r="S4059"/>
      <c r="T4059"/>
    </row>
    <row r="4060" spans="1:20" ht="17.25" customHeight="1">
      <c r="A4060"/>
      <c r="B4060"/>
      <c r="P4060"/>
      <c r="R4060"/>
      <c r="S4060"/>
      <c r="T4060"/>
    </row>
    <row r="4061" spans="1:20" ht="17.25" customHeight="1">
      <c r="A4061"/>
      <c r="B4061"/>
      <c r="P4061"/>
      <c r="R4061"/>
      <c r="S4061"/>
      <c r="T4061"/>
    </row>
    <row r="4062" spans="1:20" ht="17.25" customHeight="1">
      <c r="A4062"/>
      <c r="B4062"/>
      <c r="P4062"/>
      <c r="R4062"/>
      <c r="S4062"/>
      <c r="T4062"/>
    </row>
    <row r="4063" spans="1:20" ht="17.25" customHeight="1">
      <c r="A4063"/>
      <c r="B4063"/>
      <c r="P4063"/>
      <c r="R4063"/>
      <c r="S4063"/>
      <c r="T4063"/>
    </row>
    <row r="4064" spans="1:20" ht="17.25" customHeight="1">
      <c r="A4064"/>
      <c r="B4064"/>
      <c r="P4064"/>
      <c r="R4064"/>
      <c r="S4064"/>
      <c r="T4064"/>
    </row>
    <row r="4065" spans="1:20" ht="17.25" customHeight="1">
      <c r="A4065"/>
      <c r="B4065"/>
      <c r="P4065"/>
      <c r="R4065"/>
      <c r="S4065"/>
      <c r="T4065"/>
    </row>
    <row r="4066" spans="1:20" ht="17.25" customHeight="1">
      <c r="A4066"/>
      <c r="B4066"/>
      <c r="P4066"/>
      <c r="R4066"/>
      <c r="S4066"/>
      <c r="T4066"/>
    </row>
    <row r="4067" spans="1:20" ht="17.25" customHeight="1">
      <c r="A4067"/>
      <c r="B4067"/>
      <c r="P4067"/>
      <c r="R4067"/>
      <c r="S4067"/>
      <c r="T4067"/>
    </row>
    <row r="4068" spans="1:20" ht="17.25" customHeight="1">
      <c r="A4068"/>
      <c r="B4068"/>
      <c r="P4068"/>
      <c r="R4068"/>
      <c r="S4068"/>
      <c r="T4068"/>
    </row>
    <row r="4069" spans="1:20" ht="17.25" customHeight="1">
      <c r="A4069"/>
      <c r="B4069"/>
      <c r="P4069"/>
      <c r="R4069"/>
      <c r="S4069"/>
      <c r="T4069"/>
    </row>
    <row r="4070" spans="1:20" ht="17.25" customHeight="1">
      <c r="A4070"/>
      <c r="B4070"/>
      <c r="P4070"/>
      <c r="R4070"/>
      <c r="S4070"/>
      <c r="T4070"/>
    </row>
    <row r="4071" spans="1:20" ht="17.25" customHeight="1">
      <c r="A4071"/>
      <c r="B4071"/>
      <c r="P4071"/>
      <c r="R4071"/>
      <c r="S4071"/>
      <c r="T4071"/>
    </row>
    <row r="4072" spans="1:20" ht="17.25" customHeight="1">
      <c r="A4072"/>
      <c r="B4072"/>
      <c r="P4072"/>
      <c r="R4072"/>
      <c r="S4072"/>
      <c r="T4072"/>
    </row>
    <row r="4073" spans="1:20" ht="17.25" customHeight="1">
      <c r="A4073"/>
      <c r="B4073"/>
      <c r="P4073"/>
      <c r="R4073"/>
      <c r="S4073"/>
      <c r="T4073"/>
    </row>
    <row r="4074" spans="1:20" ht="17.25" customHeight="1">
      <c r="A4074"/>
      <c r="B4074"/>
      <c r="P4074"/>
      <c r="R4074"/>
      <c r="S4074"/>
      <c r="T4074"/>
    </row>
    <row r="4075" spans="1:20" ht="17.25" customHeight="1">
      <c r="A4075"/>
      <c r="B4075"/>
      <c r="P4075"/>
      <c r="R4075"/>
      <c r="S4075"/>
      <c r="T4075"/>
    </row>
    <row r="4076" spans="1:20" ht="17.25" customHeight="1">
      <c r="A4076"/>
      <c r="B4076"/>
      <c r="P4076"/>
      <c r="R4076"/>
      <c r="S4076"/>
      <c r="T4076"/>
    </row>
    <row r="4077" spans="1:20" ht="17.25" customHeight="1">
      <c r="A4077"/>
      <c r="B4077"/>
      <c r="P4077"/>
      <c r="R4077"/>
      <c r="S4077"/>
      <c r="T4077"/>
    </row>
    <row r="4078" spans="1:20" ht="17.25" customHeight="1">
      <c r="A4078"/>
      <c r="B4078"/>
      <c r="P4078"/>
      <c r="R4078"/>
      <c r="S4078"/>
      <c r="T4078"/>
    </row>
    <row r="4079" spans="1:20" ht="17.25" customHeight="1">
      <c r="A4079"/>
      <c r="B4079"/>
      <c r="P4079"/>
      <c r="R4079"/>
      <c r="S4079"/>
      <c r="T4079"/>
    </row>
    <row r="4080" spans="1:20" ht="17.25" customHeight="1">
      <c r="A4080"/>
      <c r="B4080"/>
      <c r="P4080"/>
      <c r="R4080"/>
      <c r="S4080"/>
      <c r="T4080"/>
    </row>
    <row r="4081" spans="1:20" ht="17.25" customHeight="1">
      <c r="A4081"/>
      <c r="B4081"/>
      <c r="P4081"/>
      <c r="R4081"/>
      <c r="S4081"/>
      <c r="T4081"/>
    </row>
    <row r="4082" spans="1:20" ht="17.25" customHeight="1">
      <c r="A4082"/>
      <c r="B4082"/>
      <c r="P4082"/>
      <c r="R4082"/>
      <c r="S4082"/>
      <c r="T4082"/>
    </row>
    <row r="4083" spans="1:20" ht="17.25" customHeight="1">
      <c r="A4083"/>
      <c r="B4083"/>
      <c r="P4083"/>
      <c r="R4083"/>
      <c r="S4083"/>
      <c r="T4083"/>
    </row>
    <row r="4084" spans="1:20" ht="17.25" customHeight="1">
      <c r="A4084"/>
      <c r="B4084"/>
      <c r="P4084"/>
      <c r="R4084"/>
      <c r="S4084"/>
      <c r="T4084"/>
    </row>
    <row r="4085" spans="1:20" ht="17.25" customHeight="1">
      <c r="A4085"/>
      <c r="B4085"/>
      <c r="P4085"/>
      <c r="R4085"/>
      <c r="S4085"/>
      <c r="T4085"/>
    </row>
    <row r="4086" spans="1:20" ht="17.25" customHeight="1">
      <c r="A4086"/>
      <c r="B4086"/>
      <c r="P4086"/>
      <c r="R4086"/>
      <c r="S4086"/>
      <c r="T4086"/>
    </row>
    <row r="4087" spans="1:20" ht="17.25" customHeight="1">
      <c r="A4087"/>
      <c r="B4087"/>
      <c r="P4087"/>
      <c r="R4087"/>
      <c r="S4087"/>
      <c r="T4087"/>
    </row>
    <row r="4088" spans="1:20" ht="17.25" customHeight="1">
      <c r="A4088"/>
      <c r="B4088"/>
      <c r="P4088"/>
      <c r="R4088"/>
      <c r="S4088"/>
      <c r="T4088"/>
    </row>
    <row r="4089" spans="1:20" ht="17.25" customHeight="1">
      <c r="A4089"/>
      <c r="B4089"/>
      <c r="P4089"/>
      <c r="R4089"/>
      <c r="S4089"/>
      <c r="T4089"/>
    </row>
    <row r="4090" spans="1:20" ht="17.25" customHeight="1">
      <c r="A4090"/>
      <c r="B4090"/>
      <c r="P4090"/>
      <c r="R4090"/>
      <c r="S4090"/>
      <c r="T4090"/>
    </row>
    <row r="4091" spans="1:20" ht="17.25" customHeight="1">
      <c r="A4091"/>
      <c r="B4091"/>
      <c r="P4091"/>
      <c r="R4091"/>
      <c r="S4091"/>
      <c r="T4091"/>
    </row>
    <row r="4092" spans="1:20" ht="17.25" customHeight="1">
      <c r="A4092"/>
      <c r="B4092"/>
      <c r="P4092"/>
      <c r="R4092"/>
      <c r="S4092"/>
      <c r="T4092"/>
    </row>
    <row r="4093" spans="1:20" ht="17.25" customHeight="1">
      <c r="A4093"/>
      <c r="B4093"/>
      <c r="P4093"/>
      <c r="R4093"/>
      <c r="S4093"/>
      <c r="T4093"/>
    </row>
    <row r="4094" spans="1:20" ht="17.25" customHeight="1">
      <c r="A4094"/>
      <c r="B4094"/>
      <c r="P4094"/>
      <c r="R4094"/>
      <c r="S4094"/>
      <c r="T4094"/>
    </row>
    <row r="4095" spans="1:20" ht="17.25" customHeight="1">
      <c r="A4095"/>
      <c r="B4095"/>
      <c r="P4095"/>
      <c r="R4095"/>
      <c r="S4095"/>
      <c r="T4095"/>
    </row>
    <row r="4096" spans="1:20" ht="17.25" customHeight="1">
      <c r="A4096"/>
      <c r="B4096"/>
      <c r="P4096"/>
      <c r="R4096"/>
      <c r="S4096"/>
      <c r="T4096"/>
    </row>
    <row r="4097" spans="1:20" ht="17.25" customHeight="1">
      <c r="A4097"/>
      <c r="B4097"/>
      <c r="P4097"/>
      <c r="R4097"/>
      <c r="S4097"/>
      <c r="T4097"/>
    </row>
    <row r="4098" spans="1:20" ht="17.25" customHeight="1">
      <c r="A4098"/>
      <c r="B4098"/>
      <c r="P4098"/>
      <c r="R4098"/>
      <c r="S4098"/>
      <c r="T4098"/>
    </row>
    <row r="4099" spans="1:20" ht="17.25" customHeight="1">
      <c r="A4099"/>
      <c r="B4099"/>
      <c r="P4099"/>
      <c r="R4099"/>
      <c r="S4099"/>
      <c r="T4099"/>
    </row>
    <row r="4100" spans="1:20" ht="17.25" customHeight="1">
      <c r="A4100"/>
      <c r="B4100"/>
      <c r="P4100"/>
      <c r="R4100"/>
      <c r="S4100"/>
      <c r="T4100"/>
    </row>
    <row r="4101" spans="1:20" ht="17.25" customHeight="1">
      <c r="A4101"/>
      <c r="B4101"/>
      <c r="P4101"/>
      <c r="R4101"/>
      <c r="S4101"/>
      <c r="T4101"/>
    </row>
    <row r="4102" spans="1:20" ht="17.25" customHeight="1">
      <c r="A4102"/>
      <c r="B4102"/>
      <c r="P4102"/>
      <c r="R4102"/>
      <c r="S4102"/>
      <c r="T4102"/>
    </row>
    <row r="4103" spans="1:20" ht="17.25" customHeight="1">
      <c r="A4103"/>
      <c r="B4103"/>
      <c r="P4103"/>
      <c r="R4103"/>
      <c r="S4103"/>
      <c r="T4103"/>
    </row>
    <row r="4104" spans="1:20" ht="17.25" customHeight="1">
      <c r="A4104"/>
      <c r="B4104"/>
      <c r="P4104"/>
      <c r="R4104"/>
      <c r="S4104"/>
      <c r="T4104"/>
    </row>
    <row r="4105" spans="1:20" ht="17.25" customHeight="1">
      <c r="A4105"/>
      <c r="B4105"/>
      <c r="P4105"/>
      <c r="R4105"/>
      <c r="S4105"/>
      <c r="T4105"/>
    </row>
    <row r="4106" spans="1:20" ht="17.25" customHeight="1">
      <c r="A4106"/>
      <c r="B4106"/>
      <c r="P4106"/>
      <c r="R4106"/>
      <c r="S4106"/>
      <c r="T4106"/>
    </row>
    <row r="4107" spans="1:20" ht="17.25" customHeight="1">
      <c r="A4107"/>
      <c r="B4107"/>
      <c r="P4107"/>
      <c r="R4107"/>
      <c r="S4107"/>
      <c r="T4107"/>
    </row>
    <row r="4108" spans="1:20" ht="17.25" customHeight="1">
      <c r="A4108"/>
      <c r="B4108"/>
      <c r="P4108"/>
      <c r="R4108"/>
      <c r="S4108"/>
      <c r="T4108"/>
    </row>
    <row r="4109" spans="1:20" ht="17.25" customHeight="1">
      <c r="A4109"/>
      <c r="B4109"/>
      <c r="P4109"/>
      <c r="R4109"/>
      <c r="S4109"/>
      <c r="T4109"/>
    </row>
    <row r="4110" spans="1:20" ht="17.25" customHeight="1">
      <c r="A4110"/>
      <c r="B4110"/>
      <c r="P4110"/>
      <c r="R4110"/>
      <c r="S4110"/>
      <c r="T4110"/>
    </row>
    <row r="4111" spans="1:20" ht="17.25" customHeight="1">
      <c r="A4111"/>
      <c r="B4111"/>
      <c r="P4111"/>
      <c r="R4111"/>
      <c r="S4111"/>
      <c r="T4111"/>
    </row>
    <row r="4112" spans="1:20" ht="17.25" customHeight="1">
      <c r="A4112"/>
      <c r="B4112"/>
      <c r="P4112"/>
      <c r="R4112"/>
      <c r="S4112"/>
      <c r="T4112"/>
    </row>
    <row r="4113" spans="1:20" ht="17.25" customHeight="1">
      <c r="A4113"/>
      <c r="B4113"/>
      <c r="P4113"/>
      <c r="R4113"/>
      <c r="S4113"/>
      <c r="T4113"/>
    </row>
    <row r="4114" spans="1:20" ht="17.25" customHeight="1">
      <c r="A4114"/>
      <c r="B4114"/>
      <c r="P4114"/>
      <c r="R4114"/>
      <c r="S4114"/>
      <c r="T4114"/>
    </row>
    <row r="4115" spans="1:20" ht="17.25" customHeight="1">
      <c r="A4115"/>
      <c r="B4115"/>
      <c r="P4115"/>
      <c r="R4115"/>
      <c r="S4115"/>
      <c r="T4115"/>
    </row>
    <row r="4116" spans="1:20" ht="17.25" customHeight="1">
      <c r="A4116"/>
      <c r="B4116"/>
      <c r="P4116"/>
      <c r="R4116"/>
      <c r="S4116"/>
      <c r="T4116"/>
    </row>
    <row r="4117" spans="1:20" ht="17.25" customHeight="1">
      <c r="A4117"/>
      <c r="B4117"/>
      <c r="P4117"/>
      <c r="R4117"/>
      <c r="S4117"/>
      <c r="T4117"/>
    </row>
    <row r="4118" spans="1:20" ht="17.25" customHeight="1">
      <c r="A4118"/>
      <c r="B4118"/>
      <c r="P4118"/>
      <c r="R4118"/>
      <c r="S4118"/>
      <c r="T4118"/>
    </row>
    <row r="4119" spans="1:20" ht="17.25" customHeight="1">
      <c r="A4119"/>
      <c r="B4119"/>
      <c r="P4119"/>
      <c r="R4119"/>
      <c r="S4119"/>
      <c r="T4119"/>
    </row>
    <row r="4120" spans="1:20" ht="17.25" customHeight="1">
      <c r="A4120"/>
      <c r="B4120"/>
      <c r="P4120"/>
      <c r="R4120"/>
      <c r="S4120"/>
      <c r="T4120"/>
    </row>
    <row r="4121" spans="1:20" ht="17.25" customHeight="1">
      <c r="A4121"/>
      <c r="B4121"/>
      <c r="P4121"/>
      <c r="R4121"/>
      <c r="S4121"/>
      <c r="T4121"/>
    </row>
    <row r="4122" spans="1:20" ht="17.25" customHeight="1">
      <c r="A4122"/>
      <c r="B4122"/>
      <c r="P4122"/>
      <c r="R4122"/>
      <c r="S4122"/>
      <c r="T4122"/>
    </row>
    <row r="4123" spans="1:20" ht="17.25" customHeight="1">
      <c r="A4123"/>
      <c r="B4123"/>
      <c r="P4123"/>
      <c r="R4123"/>
      <c r="S4123"/>
      <c r="T4123"/>
    </row>
    <row r="4124" spans="1:20" ht="17.25" customHeight="1">
      <c r="A4124"/>
      <c r="B4124"/>
      <c r="P4124"/>
      <c r="R4124"/>
      <c r="S4124"/>
      <c r="T4124"/>
    </row>
    <row r="4125" spans="1:20" ht="17.25" customHeight="1">
      <c r="A4125"/>
      <c r="B4125"/>
      <c r="P4125"/>
      <c r="R4125"/>
      <c r="S4125"/>
      <c r="T4125"/>
    </row>
    <row r="4126" spans="1:20" ht="17.25" customHeight="1">
      <c r="A4126"/>
      <c r="B4126"/>
      <c r="P4126"/>
      <c r="R4126"/>
      <c r="S4126"/>
      <c r="T4126"/>
    </row>
    <row r="4127" spans="1:20" ht="17.25" customHeight="1">
      <c r="A4127"/>
      <c r="B4127"/>
      <c r="P4127"/>
      <c r="R4127"/>
      <c r="S4127"/>
      <c r="T4127"/>
    </row>
    <row r="4128" spans="1:20" ht="17.25" customHeight="1">
      <c r="A4128"/>
      <c r="B4128"/>
      <c r="P4128"/>
      <c r="R4128"/>
      <c r="S4128"/>
      <c r="T4128"/>
    </row>
    <row r="4129" spans="1:20" ht="17.25" customHeight="1">
      <c r="A4129"/>
      <c r="B4129"/>
      <c r="P4129"/>
      <c r="R4129"/>
      <c r="S4129"/>
      <c r="T4129"/>
    </row>
    <row r="4130" spans="1:20" ht="17.25" customHeight="1">
      <c r="A4130"/>
      <c r="B4130"/>
      <c r="P4130"/>
      <c r="R4130"/>
      <c r="S4130"/>
      <c r="T4130"/>
    </row>
    <row r="4131" spans="1:20" ht="17.25" customHeight="1">
      <c r="A4131"/>
      <c r="B4131"/>
      <c r="P4131"/>
      <c r="R4131"/>
      <c r="S4131"/>
      <c r="T4131"/>
    </row>
    <row r="4132" spans="1:20" ht="17.25" customHeight="1">
      <c r="A4132"/>
      <c r="B4132"/>
      <c r="P4132"/>
      <c r="R4132"/>
      <c r="S4132"/>
      <c r="T4132"/>
    </row>
    <row r="4133" spans="1:20" ht="17.25" customHeight="1">
      <c r="A4133"/>
      <c r="B4133"/>
      <c r="P4133"/>
      <c r="R4133"/>
      <c r="S4133"/>
      <c r="T4133"/>
    </row>
    <row r="4134" spans="1:20" ht="17.25" customHeight="1">
      <c r="A4134"/>
      <c r="B4134"/>
      <c r="P4134"/>
      <c r="R4134"/>
      <c r="S4134"/>
      <c r="T4134"/>
    </row>
    <row r="4135" spans="1:20" ht="17.25" customHeight="1">
      <c r="A4135"/>
      <c r="B4135"/>
      <c r="P4135"/>
      <c r="R4135"/>
      <c r="S4135"/>
      <c r="T4135"/>
    </row>
    <row r="4136" spans="1:20" ht="17.25" customHeight="1">
      <c r="A4136"/>
      <c r="B4136"/>
      <c r="P4136"/>
      <c r="R4136"/>
      <c r="S4136"/>
      <c r="T4136"/>
    </row>
    <row r="4137" spans="1:20" ht="17.25" customHeight="1">
      <c r="A4137"/>
      <c r="B4137"/>
      <c r="P4137"/>
      <c r="R4137"/>
      <c r="S4137"/>
      <c r="T4137"/>
    </row>
    <row r="4138" spans="1:20" ht="17.25" customHeight="1">
      <c r="A4138"/>
      <c r="B4138"/>
      <c r="P4138"/>
      <c r="R4138"/>
      <c r="S4138"/>
      <c r="T4138"/>
    </row>
    <row r="4139" spans="1:20" ht="17.25" customHeight="1">
      <c r="A4139"/>
      <c r="B4139"/>
      <c r="P4139"/>
      <c r="R4139"/>
      <c r="S4139"/>
      <c r="T4139"/>
    </row>
    <row r="4140" spans="1:20" ht="17.25" customHeight="1">
      <c r="A4140"/>
      <c r="B4140"/>
      <c r="P4140"/>
      <c r="R4140"/>
      <c r="S4140"/>
      <c r="T4140"/>
    </row>
    <row r="4141" spans="1:20" ht="17.25" customHeight="1">
      <c r="A4141"/>
      <c r="B4141"/>
      <c r="P4141"/>
      <c r="R4141"/>
      <c r="S4141"/>
      <c r="T4141"/>
    </row>
    <row r="4142" spans="1:20" ht="17.25" customHeight="1">
      <c r="A4142"/>
      <c r="B4142"/>
      <c r="P4142"/>
      <c r="R4142"/>
      <c r="S4142"/>
      <c r="T4142"/>
    </row>
    <row r="4143" spans="1:20" ht="17.25" customHeight="1">
      <c r="A4143"/>
      <c r="B4143"/>
      <c r="P4143"/>
      <c r="R4143"/>
      <c r="S4143"/>
      <c r="T4143"/>
    </row>
    <row r="4144" spans="1:20" ht="17.25" customHeight="1">
      <c r="A4144"/>
      <c r="B4144"/>
      <c r="P4144"/>
      <c r="R4144"/>
      <c r="S4144"/>
      <c r="T4144"/>
    </row>
    <row r="4145" spans="1:20" ht="17.25" customHeight="1">
      <c r="A4145"/>
      <c r="B4145"/>
      <c r="P4145"/>
      <c r="R4145"/>
      <c r="S4145"/>
      <c r="T4145"/>
    </row>
    <row r="4146" spans="1:20" ht="17.25" customHeight="1">
      <c r="A4146"/>
      <c r="B4146"/>
      <c r="P4146"/>
      <c r="R4146"/>
      <c r="S4146"/>
      <c r="T4146"/>
    </row>
    <row r="4147" spans="1:20" ht="17.25" customHeight="1">
      <c r="A4147"/>
      <c r="B4147"/>
      <c r="P4147"/>
      <c r="R4147"/>
      <c r="S4147"/>
      <c r="T4147"/>
    </row>
    <row r="4148" spans="1:20" ht="17.25" customHeight="1">
      <c r="A4148"/>
      <c r="B4148"/>
      <c r="P4148"/>
      <c r="R4148"/>
      <c r="S4148"/>
      <c r="T4148"/>
    </row>
    <row r="4149" spans="1:20" ht="17.25" customHeight="1">
      <c r="A4149"/>
      <c r="B4149"/>
      <c r="P4149"/>
      <c r="R4149"/>
      <c r="S4149"/>
      <c r="T4149"/>
    </row>
    <row r="4150" spans="1:20" ht="17.25" customHeight="1">
      <c r="A4150"/>
      <c r="B4150"/>
      <c r="P4150"/>
      <c r="R4150"/>
      <c r="S4150"/>
      <c r="T4150"/>
    </row>
    <row r="4151" spans="1:20" ht="17.25" customHeight="1">
      <c r="A4151"/>
      <c r="B4151"/>
      <c r="P4151"/>
      <c r="R4151"/>
      <c r="S4151"/>
      <c r="T4151"/>
    </row>
    <row r="4152" spans="1:20" ht="17.25" customHeight="1">
      <c r="A4152"/>
      <c r="B4152"/>
      <c r="P4152"/>
      <c r="R4152"/>
      <c r="S4152"/>
      <c r="T4152"/>
    </row>
    <row r="4153" spans="1:20" ht="17.25" customHeight="1">
      <c r="A4153"/>
      <c r="B4153"/>
      <c r="P4153"/>
      <c r="R4153"/>
      <c r="S4153"/>
      <c r="T4153"/>
    </row>
    <row r="4154" spans="1:20" ht="17.25" customHeight="1">
      <c r="A4154"/>
      <c r="B4154"/>
      <c r="P4154"/>
      <c r="R4154"/>
      <c r="S4154"/>
      <c r="T4154"/>
    </row>
    <row r="4155" spans="1:20" ht="17.25" customHeight="1">
      <c r="A4155"/>
      <c r="B4155"/>
      <c r="P4155"/>
      <c r="R4155"/>
      <c r="S4155"/>
      <c r="T4155"/>
    </row>
    <row r="4156" spans="1:20" ht="17.25" customHeight="1">
      <c r="A4156"/>
      <c r="B4156"/>
      <c r="P4156"/>
      <c r="R4156"/>
      <c r="S4156"/>
      <c r="T4156"/>
    </row>
    <row r="4157" spans="1:20" ht="17.25" customHeight="1">
      <c r="A4157"/>
      <c r="B4157"/>
      <c r="P4157"/>
      <c r="R4157"/>
      <c r="S4157"/>
      <c r="T4157"/>
    </row>
    <row r="4158" spans="1:20" ht="17.25" customHeight="1">
      <c r="A4158"/>
      <c r="B4158"/>
      <c r="P4158"/>
      <c r="R4158"/>
      <c r="S4158"/>
      <c r="T4158"/>
    </row>
    <row r="4159" spans="1:20" ht="17.25" customHeight="1">
      <c r="A4159"/>
      <c r="B4159"/>
      <c r="P4159"/>
      <c r="R4159"/>
      <c r="S4159"/>
      <c r="T4159"/>
    </row>
    <row r="4160" spans="1:20" ht="17.25" customHeight="1">
      <c r="A4160"/>
      <c r="B4160"/>
      <c r="P4160"/>
      <c r="R4160"/>
      <c r="S4160"/>
      <c r="T4160"/>
    </row>
    <row r="4161" spans="1:20" ht="17.25" customHeight="1">
      <c r="A4161"/>
      <c r="B4161"/>
      <c r="P4161"/>
      <c r="R4161"/>
      <c r="S4161"/>
      <c r="T4161"/>
    </row>
    <row r="4162" spans="1:20" ht="17.25" customHeight="1">
      <c r="A4162"/>
      <c r="B4162"/>
      <c r="P4162"/>
      <c r="R4162"/>
      <c r="S4162"/>
      <c r="T4162"/>
    </row>
    <row r="4163" spans="1:20" ht="17.25" customHeight="1">
      <c r="A4163"/>
      <c r="B4163"/>
      <c r="P4163"/>
      <c r="R4163"/>
      <c r="S4163"/>
      <c r="T4163"/>
    </row>
    <row r="4164" spans="1:20" ht="17.25" customHeight="1">
      <c r="A4164"/>
      <c r="B4164"/>
      <c r="P4164"/>
      <c r="R4164"/>
      <c r="S4164"/>
      <c r="T4164"/>
    </row>
    <row r="4165" spans="1:20" ht="17.25" customHeight="1">
      <c r="A4165"/>
      <c r="B4165"/>
      <c r="P4165"/>
      <c r="R4165"/>
      <c r="S4165"/>
      <c r="T4165"/>
    </row>
    <row r="4166" spans="1:20" ht="17.25" customHeight="1">
      <c r="A4166"/>
      <c r="B4166"/>
      <c r="P4166"/>
      <c r="R4166"/>
      <c r="S4166"/>
      <c r="T4166"/>
    </row>
    <row r="4167" spans="1:20" ht="17.25" customHeight="1">
      <c r="A4167"/>
      <c r="B4167"/>
      <c r="P4167"/>
      <c r="R4167"/>
      <c r="S4167"/>
      <c r="T4167"/>
    </row>
    <row r="4168" spans="1:20" ht="17.25" customHeight="1">
      <c r="A4168"/>
      <c r="B4168"/>
      <c r="P4168"/>
      <c r="R4168"/>
      <c r="S4168"/>
      <c r="T4168"/>
    </row>
    <row r="4169" spans="1:20" ht="17.25" customHeight="1">
      <c r="A4169"/>
      <c r="B4169"/>
      <c r="P4169"/>
      <c r="R4169"/>
      <c r="S4169"/>
      <c r="T4169"/>
    </row>
    <row r="4170" spans="1:20" ht="17.25" customHeight="1">
      <c r="A4170"/>
      <c r="B4170"/>
      <c r="P4170"/>
      <c r="R4170"/>
      <c r="S4170"/>
      <c r="T4170"/>
    </row>
    <row r="4171" spans="1:20" ht="17.25" customHeight="1">
      <c r="A4171"/>
      <c r="B4171"/>
      <c r="P4171"/>
      <c r="R4171"/>
      <c r="S4171"/>
      <c r="T4171"/>
    </row>
    <row r="4172" spans="1:20" ht="17.25" customHeight="1">
      <c r="A4172"/>
      <c r="B4172"/>
      <c r="P4172"/>
      <c r="R4172"/>
      <c r="S4172"/>
      <c r="T4172"/>
    </row>
    <row r="4173" spans="1:20" ht="17.25" customHeight="1">
      <c r="A4173"/>
      <c r="B4173"/>
      <c r="P4173"/>
      <c r="R4173"/>
      <c r="S4173"/>
      <c r="T4173"/>
    </row>
    <row r="4174" spans="1:20" ht="17.25" customHeight="1">
      <c r="A4174"/>
      <c r="B4174"/>
      <c r="P4174"/>
      <c r="R4174"/>
      <c r="S4174"/>
      <c r="T4174"/>
    </row>
    <row r="4175" spans="1:20" ht="17.25" customHeight="1">
      <c r="A4175"/>
      <c r="B4175"/>
      <c r="P4175"/>
      <c r="R4175"/>
      <c r="S4175"/>
      <c r="T4175"/>
    </row>
    <row r="4176" spans="1:20" ht="17.25" customHeight="1">
      <c r="A4176"/>
      <c r="B4176"/>
      <c r="P4176"/>
      <c r="R4176"/>
      <c r="S4176"/>
      <c r="T4176"/>
    </row>
    <row r="4177" spans="1:20" ht="17.25" customHeight="1">
      <c r="A4177"/>
      <c r="B4177"/>
      <c r="P4177"/>
      <c r="R4177"/>
      <c r="S4177"/>
      <c r="T4177"/>
    </row>
    <row r="4178" spans="1:20" ht="17.25" customHeight="1">
      <c r="A4178"/>
      <c r="B4178"/>
      <c r="P4178"/>
      <c r="R4178"/>
      <c r="S4178"/>
      <c r="T4178"/>
    </row>
    <row r="4179" spans="1:20" ht="17.25" customHeight="1">
      <c r="A4179"/>
      <c r="B4179"/>
      <c r="P4179"/>
      <c r="R4179"/>
      <c r="S4179"/>
      <c r="T4179"/>
    </row>
    <row r="4180" spans="1:20" ht="17.25" customHeight="1">
      <c r="A4180"/>
      <c r="B4180"/>
      <c r="P4180"/>
      <c r="R4180"/>
      <c r="S4180"/>
      <c r="T4180"/>
    </row>
    <row r="4181" spans="1:20" ht="17.25" customHeight="1">
      <c r="A4181"/>
      <c r="B4181"/>
      <c r="P4181"/>
      <c r="R4181"/>
      <c r="S4181"/>
      <c r="T4181"/>
    </row>
    <row r="4182" spans="1:20" ht="17.25" customHeight="1">
      <c r="A4182"/>
      <c r="B4182"/>
      <c r="P4182"/>
      <c r="R4182"/>
      <c r="S4182"/>
      <c r="T4182"/>
    </row>
    <row r="4183" spans="1:20" ht="17.25" customHeight="1">
      <c r="A4183"/>
      <c r="B4183"/>
      <c r="P4183"/>
      <c r="R4183"/>
      <c r="S4183"/>
      <c r="T4183"/>
    </row>
    <row r="4184" spans="1:20" ht="17.25" customHeight="1">
      <c r="A4184"/>
      <c r="B4184"/>
      <c r="P4184"/>
      <c r="R4184"/>
      <c r="S4184"/>
      <c r="T4184"/>
    </row>
    <row r="4185" spans="1:20" ht="17.25" customHeight="1">
      <c r="A4185"/>
      <c r="B4185"/>
      <c r="P4185"/>
      <c r="R4185"/>
      <c r="S4185"/>
      <c r="T4185"/>
    </row>
    <row r="4186" spans="1:20" ht="17.25" customHeight="1">
      <c r="A4186"/>
      <c r="B4186"/>
      <c r="P4186"/>
      <c r="R4186"/>
      <c r="S4186"/>
      <c r="T4186"/>
    </row>
    <row r="4187" spans="1:20" ht="17.25" customHeight="1">
      <c r="A4187"/>
      <c r="B4187"/>
      <c r="P4187"/>
      <c r="R4187"/>
      <c r="S4187"/>
      <c r="T4187"/>
    </row>
    <row r="4188" spans="1:20" ht="17.25" customHeight="1">
      <c r="A4188"/>
      <c r="B4188"/>
      <c r="P4188"/>
      <c r="R4188"/>
      <c r="S4188"/>
      <c r="T4188"/>
    </row>
    <row r="4189" spans="1:20" ht="17.25" customHeight="1">
      <c r="A4189"/>
      <c r="B4189"/>
      <c r="P4189"/>
      <c r="R4189"/>
      <c r="S4189"/>
      <c r="T4189"/>
    </row>
    <row r="4190" spans="1:20" ht="17.25" customHeight="1">
      <c r="A4190"/>
      <c r="B4190"/>
      <c r="P4190"/>
      <c r="R4190"/>
      <c r="S4190"/>
      <c r="T4190"/>
    </row>
    <row r="4191" spans="1:20" ht="17.25" customHeight="1">
      <c r="A4191"/>
      <c r="B4191"/>
      <c r="P4191"/>
      <c r="R4191"/>
      <c r="S4191"/>
      <c r="T4191"/>
    </row>
    <row r="4192" spans="1:20" ht="17.25" customHeight="1">
      <c r="A4192"/>
      <c r="B4192"/>
      <c r="P4192"/>
      <c r="R4192"/>
      <c r="S4192"/>
      <c r="T4192"/>
    </row>
    <row r="4193" spans="1:20" ht="17.25" customHeight="1">
      <c r="A4193"/>
      <c r="B4193"/>
      <c r="P4193"/>
      <c r="R4193"/>
      <c r="S4193"/>
      <c r="T4193"/>
    </row>
    <row r="4194" spans="1:20" ht="17.25" customHeight="1">
      <c r="A4194"/>
      <c r="B4194"/>
      <c r="P4194"/>
      <c r="R4194"/>
      <c r="S4194"/>
      <c r="T4194"/>
    </row>
    <row r="4195" spans="1:20" ht="17.25" customHeight="1">
      <c r="A4195"/>
      <c r="B4195"/>
      <c r="P4195"/>
      <c r="R4195"/>
      <c r="S4195"/>
      <c r="T4195"/>
    </row>
    <row r="4196" spans="1:20" ht="17.25" customHeight="1">
      <c r="A4196"/>
      <c r="B4196"/>
      <c r="P4196"/>
      <c r="R4196"/>
      <c r="S4196"/>
      <c r="T4196"/>
    </row>
    <row r="4197" spans="1:20" ht="17.25" customHeight="1">
      <c r="A4197"/>
      <c r="B4197"/>
      <c r="P4197"/>
      <c r="R4197"/>
      <c r="S4197"/>
      <c r="T4197"/>
    </row>
    <row r="4198" spans="1:20" ht="17.25" customHeight="1">
      <c r="A4198"/>
      <c r="B4198"/>
      <c r="P4198"/>
      <c r="R4198"/>
      <c r="S4198"/>
      <c r="T4198"/>
    </row>
    <row r="4199" spans="1:20" ht="17.25" customHeight="1">
      <c r="A4199"/>
      <c r="B4199"/>
      <c r="P4199"/>
      <c r="R4199"/>
      <c r="S4199"/>
      <c r="T4199"/>
    </row>
    <row r="4200" spans="1:20" ht="17.25" customHeight="1">
      <c r="A4200"/>
      <c r="B4200"/>
      <c r="P4200"/>
      <c r="R4200"/>
      <c r="S4200"/>
      <c r="T4200"/>
    </row>
    <row r="4201" spans="1:20" ht="17.25" customHeight="1">
      <c r="A4201"/>
      <c r="B4201"/>
      <c r="P4201"/>
      <c r="R4201"/>
      <c r="S4201"/>
      <c r="T4201"/>
    </row>
    <row r="4202" spans="1:20" ht="17.25" customHeight="1">
      <c r="A4202"/>
      <c r="B4202"/>
      <c r="P4202"/>
      <c r="R4202"/>
      <c r="S4202"/>
      <c r="T4202"/>
    </row>
    <row r="4203" spans="1:20" ht="17.25" customHeight="1">
      <c r="A4203"/>
      <c r="B4203"/>
      <c r="P4203"/>
      <c r="R4203"/>
      <c r="S4203"/>
      <c r="T4203"/>
    </row>
    <row r="4204" spans="1:20" ht="17.25" customHeight="1">
      <c r="A4204"/>
      <c r="B4204"/>
      <c r="P4204"/>
      <c r="R4204"/>
      <c r="S4204"/>
      <c r="T4204"/>
    </row>
    <row r="4205" spans="1:20" ht="17.25" customHeight="1">
      <c r="A4205"/>
      <c r="B4205"/>
      <c r="P4205"/>
      <c r="R4205"/>
      <c r="S4205"/>
      <c r="T4205"/>
    </row>
    <row r="4206" spans="1:20" ht="17.25" customHeight="1">
      <c r="A4206"/>
      <c r="B4206"/>
      <c r="P4206"/>
      <c r="R4206"/>
      <c r="S4206"/>
      <c r="T4206"/>
    </row>
    <row r="4207" spans="1:20" ht="17.25" customHeight="1">
      <c r="A4207"/>
      <c r="B4207"/>
      <c r="P4207"/>
      <c r="R4207"/>
      <c r="S4207"/>
      <c r="T4207"/>
    </row>
    <row r="4208" spans="1:20" ht="17.25" customHeight="1">
      <c r="A4208"/>
      <c r="B4208"/>
      <c r="P4208"/>
      <c r="R4208"/>
      <c r="S4208"/>
      <c r="T4208"/>
    </row>
    <row r="4209" spans="1:20" ht="17.25" customHeight="1">
      <c r="A4209"/>
      <c r="B4209"/>
      <c r="P4209"/>
      <c r="R4209"/>
      <c r="S4209"/>
      <c r="T4209"/>
    </row>
    <row r="4210" spans="1:20" ht="17.25" customHeight="1">
      <c r="A4210"/>
      <c r="B4210"/>
      <c r="P4210"/>
      <c r="R4210"/>
      <c r="S4210"/>
      <c r="T4210"/>
    </row>
    <row r="4211" spans="1:20" ht="17.25" customHeight="1">
      <c r="A4211"/>
      <c r="B4211"/>
      <c r="P4211"/>
      <c r="R4211"/>
      <c r="S4211"/>
      <c r="T4211"/>
    </row>
    <row r="4212" spans="1:20" ht="17.25" customHeight="1">
      <c r="A4212"/>
      <c r="B4212"/>
      <c r="P4212"/>
      <c r="R4212"/>
      <c r="S4212"/>
      <c r="T4212"/>
    </row>
    <row r="4213" spans="1:20" ht="17.25" customHeight="1">
      <c r="A4213"/>
      <c r="B4213"/>
      <c r="P4213"/>
      <c r="R4213"/>
      <c r="S4213"/>
      <c r="T4213"/>
    </row>
    <row r="4214" spans="1:20" ht="17.25" customHeight="1">
      <c r="A4214"/>
      <c r="B4214"/>
      <c r="P4214"/>
      <c r="R4214"/>
      <c r="S4214"/>
      <c r="T4214"/>
    </row>
    <row r="4215" spans="1:20" ht="17.25" customHeight="1">
      <c r="A4215"/>
      <c r="B4215"/>
      <c r="P4215"/>
      <c r="R4215"/>
      <c r="S4215"/>
      <c r="T4215"/>
    </row>
    <row r="4216" spans="1:20" ht="17.25" customHeight="1">
      <c r="A4216"/>
      <c r="B4216"/>
      <c r="P4216"/>
      <c r="R4216"/>
      <c r="S4216"/>
      <c r="T4216"/>
    </row>
    <row r="4217" spans="1:20" ht="17.25" customHeight="1">
      <c r="A4217"/>
      <c r="B4217"/>
      <c r="P4217"/>
      <c r="R4217"/>
      <c r="S4217"/>
      <c r="T4217"/>
    </row>
    <row r="4218" spans="1:20" ht="17.25" customHeight="1">
      <c r="A4218"/>
      <c r="B4218"/>
      <c r="P4218"/>
      <c r="R4218"/>
      <c r="S4218"/>
      <c r="T4218"/>
    </row>
    <row r="4219" spans="1:20" ht="17.25" customHeight="1">
      <c r="A4219"/>
      <c r="B4219"/>
      <c r="P4219"/>
      <c r="R4219"/>
      <c r="S4219"/>
      <c r="T4219"/>
    </row>
    <row r="4220" spans="1:20" ht="17.25" customHeight="1">
      <c r="A4220"/>
      <c r="B4220"/>
      <c r="P4220"/>
      <c r="R4220"/>
      <c r="S4220"/>
      <c r="T4220"/>
    </row>
    <row r="4221" spans="1:20" ht="17.25" customHeight="1">
      <c r="A4221"/>
      <c r="B4221"/>
      <c r="P4221"/>
      <c r="R4221"/>
      <c r="S4221"/>
      <c r="T4221"/>
    </row>
    <row r="4222" spans="1:20" ht="17.25" customHeight="1">
      <c r="A4222"/>
      <c r="B4222"/>
      <c r="P4222"/>
      <c r="R4222"/>
      <c r="S4222"/>
      <c r="T4222"/>
    </row>
    <row r="4223" spans="1:20" ht="17.25" customHeight="1">
      <c r="A4223"/>
      <c r="B4223"/>
      <c r="P4223"/>
      <c r="R4223"/>
      <c r="S4223"/>
      <c r="T4223"/>
    </row>
    <row r="4224" spans="1:20" ht="17.25" customHeight="1">
      <c r="A4224"/>
      <c r="B4224"/>
      <c r="P4224"/>
      <c r="R4224"/>
      <c r="S4224"/>
      <c r="T4224"/>
    </row>
    <row r="4225" spans="1:20" ht="17.25" customHeight="1">
      <c r="A4225"/>
      <c r="B4225"/>
      <c r="P4225"/>
      <c r="R4225"/>
      <c r="S4225"/>
      <c r="T4225"/>
    </row>
    <row r="4226" spans="1:20" ht="17.25" customHeight="1">
      <c r="A4226"/>
      <c r="B4226"/>
      <c r="P4226"/>
      <c r="R4226"/>
      <c r="S4226"/>
      <c r="T4226"/>
    </row>
    <row r="4227" spans="1:20" ht="17.25" customHeight="1">
      <c r="A4227"/>
      <c r="B4227"/>
      <c r="P4227"/>
      <c r="R4227"/>
      <c r="S4227"/>
      <c r="T4227"/>
    </row>
    <row r="4228" spans="1:20" ht="17.25" customHeight="1">
      <c r="A4228"/>
      <c r="B4228"/>
      <c r="P4228"/>
      <c r="R4228"/>
      <c r="S4228"/>
      <c r="T4228"/>
    </row>
    <row r="4229" spans="1:20" ht="17.25" customHeight="1">
      <c r="A4229"/>
      <c r="B4229"/>
      <c r="P4229"/>
      <c r="R4229"/>
      <c r="S4229"/>
      <c r="T4229"/>
    </row>
    <row r="4230" spans="1:20" ht="17.25" customHeight="1">
      <c r="A4230"/>
      <c r="B4230"/>
      <c r="P4230"/>
      <c r="R4230"/>
      <c r="S4230"/>
      <c r="T4230"/>
    </row>
    <row r="4231" spans="1:20" ht="17.25" customHeight="1">
      <c r="A4231"/>
      <c r="B4231"/>
      <c r="P4231"/>
      <c r="R4231"/>
      <c r="S4231"/>
      <c r="T4231"/>
    </row>
    <row r="4232" spans="1:20" ht="17.25" customHeight="1">
      <c r="A4232"/>
      <c r="B4232"/>
      <c r="P4232"/>
      <c r="R4232"/>
      <c r="S4232"/>
      <c r="T4232"/>
    </row>
    <row r="4233" spans="1:20" ht="17.25" customHeight="1">
      <c r="A4233"/>
      <c r="B4233"/>
      <c r="P4233"/>
      <c r="R4233"/>
      <c r="S4233"/>
      <c r="T4233"/>
    </row>
    <row r="4234" spans="1:20" ht="17.25" customHeight="1">
      <c r="A4234"/>
      <c r="B4234"/>
      <c r="P4234"/>
      <c r="R4234"/>
      <c r="S4234"/>
      <c r="T4234"/>
    </row>
    <row r="4235" spans="1:20" ht="17.25" customHeight="1">
      <c r="A4235"/>
      <c r="B4235"/>
      <c r="P4235"/>
      <c r="R4235"/>
      <c r="S4235"/>
      <c r="T4235"/>
    </row>
    <row r="4236" spans="1:20" ht="17.25" customHeight="1">
      <c r="A4236"/>
      <c r="B4236"/>
      <c r="P4236"/>
      <c r="R4236"/>
      <c r="S4236"/>
      <c r="T4236"/>
    </row>
    <row r="4237" spans="1:20" ht="17.25" customHeight="1">
      <c r="A4237"/>
      <c r="B4237"/>
      <c r="P4237"/>
      <c r="R4237"/>
      <c r="S4237"/>
      <c r="T4237"/>
    </row>
    <row r="4238" spans="1:20" ht="17.25" customHeight="1">
      <c r="A4238"/>
      <c r="B4238"/>
      <c r="P4238"/>
      <c r="R4238"/>
      <c r="S4238"/>
      <c r="T4238"/>
    </row>
    <row r="4239" spans="1:20" ht="17.25" customHeight="1">
      <c r="A4239"/>
      <c r="B4239"/>
      <c r="P4239"/>
      <c r="R4239"/>
      <c r="S4239"/>
      <c r="T4239"/>
    </row>
    <row r="4240" spans="1:20" ht="17.25" customHeight="1">
      <c r="A4240"/>
      <c r="B4240"/>
      <c r="P4240"/>
      <c r="R4240"/>
      <c r="S4240"/>
      <c r="T4240"/>
    </row>
    <row r="4241" spans="1:20" ht="17.25" customHeight="1">
      <c r="A4241"/>
      <c r="B4241"/>
      <c r="P4241"/>
      <c r="R4241"/>
      <c r="S4241"/>
      <c r="T4241"/>
    </row>
    <row r="4242" spans="1:20" ht="17.25" customHeight="1">
      <c r="A4242"/>
      <c r="B4242"/>
      <c r="P4242"/>
      <c r="R4242"/>
      <c r="S4242"/>
      <c r="T4242"/>
    </row>
    <row r="4243" spans="1:20" ht="17.25" customHeight="1">
      <c r="A4243"/>
      <c r="B4243"/>
      <c r="P4243"/>
      <c r="R4243"/>
      <c r="S4243"/>
      <c r="T4243"/>
    </row>
    <row r="4244" spans="1:20" ht="17.25" customHeight="1">
      <c r="A4244"/>
      <c r="B4244"/>
      <c r="P4244"/>
      <c r="R4244"/>
      <c r="S4244"/>
      <c r="T4244"/>
    </row>
    <row r="4245" spans="1:20" ht="17.25" customHeight="1">
      <c r="A4245"/>
      <c r="B4245"/>
      <c r="P4245"/>
      <c r="R4245"/>
      <c r="S4245"/>
      <c r="T4245"/>
    </row>
    <row r="4246" spans="1:20" ht="17.25" customHeight="1">
      <c r="A4246"/>
      <c r="B4246"/>
      <c r="P4246"/>
      <c r="R4246"/>
      <c r="S4246"/>
      <c r="T4246"/>
    </row>
    <row r="4247" spans="1:20" ht="17.25" customHeight="1">
      <c r="A4247"/>
      <c r="B4247"/>
      <c r="P4247"/>
      <c r="R4247"/>
      <c r="S4247"/>
      <c r="T4247"/>
    </row>
    <row r="4248" spans="1:20" ht="17.25" customHeight="1">
      <c r="A4248"/>
      <c r="B4248"/>
      <c r="P4248"/>
      <c r="R4248"/>
      <c r="S4248"/>
      <c r="T4248"/>
    </row>
    <row r="4249" spans="1:20" ht="17.25" customHeight="1">
      <c r="A4249"/>
      <c r="B4249"/>
      <c r="P4249"/>
      <c r="R4249"/>
      <c r="S4249"/>
      <c r="T4249"/>
    </row>
    <row r="4250" spans="1:20" ht="17.25" customHeight="1">
      <c r="A4250"/>
      <c r="B4250"/>
      <c r="P4250"/>
      <c r="R4250"/>
      <c r="S4250"/>
      <c r="T4250"/>
    </row>
    <row r="4251" spans="1:20" ht="17.25" customHeight="1">
      <c r="A4251"/>
      <c r="B4251"/>
      <c r="P4251"/>
      <c r="R4251"/>
      <c r="S4251"/>
      <c r="T4251"/>
    </row>
    <row r="4252" spans="1:20" ht="17.25" customHeight="1">
      <c r="A4252"/>
      <c r="B4252"/>
      <c r="P4252"/>
      <c r="R4252"/>
      <c r="S4252"/>
      <c r="T4252"/>
    </row>
    <row r="4253" spans="1:20" ht="17.25" customHeight="1">
      <c r="A4253"/>
      <c r="B4253"/>
      <c r="P4253"/>
      <c r="R4253"/>
      <c r="S4253"/>
      <c r="T4253"/>
    </row>
    <row r="4254" spans="1:20" ht="17.25" customHeight="1">
      <c r="A4254"/>
      <c r="B4254"/>
      <c r="P4254"/>
      <c r="R4254"/>
      <c r="S4254"/>
      <c r="T4254"/>
    </row>
    <row r="4255" spans="1:20" ht="17.25" customHeight="1">
      <c r="A4255"/>
      <c r="B4255"/>
      <c r="P4255"/>
      <c r="R4255"/>
      <c r="S4255"/>
      <c r="T4255"/>
    </row>
    <row r="4256" spans="1:20" ht="17.25" customHeight="1">
      <c r="A4256"/>
      <c r="B4256"/>
      <c r="P4256"/>
      <c r="R4256"/>
      <c r="S4256"/>
      <c r="T4256"/>
    </row>
    <row r="4257" spans="1:20" ht="17.25" customHeight="1">
      <c r="A4257"/>
      <c r="B4257"/>
      <c r="P4257"/>
      <c r="R4257"/>
      <c r="S4257"/>
      <c r="T4257"/>
    </row>
    <row r="4258" spans="1:20" ht="17.25" customHeight="1">
      <c r="A4258"/>
      <c r="B4258"/>
      <c r="P4258"/>
      <c r="R4258"/>
      <c r="S4258"/>
      <c r="T4258"/>
    </row>
    <row r="4259" spans="1:20" ht="17.25" customHeight="1">
      <c r="A4259"/>
      <c r="B4259"/>
      <c r="P4259"/>
      <c r="R4259"/>
      <c r="S4259"/>
      <c r="T4259"/>
    </row>
    <row r="4260" spans="1:20" ht="17.25" customHeight="1">
      <c r="A4260"/>
      <c r="B4260"/>
      <c r="P4260"/>
      <c r="R4260"/>
      <c r="S4260"/>
      <c r="T4260"/>
    </row>
    <row r="4261" spans="1:20" ht="17.25" customHeight="1">
      <c r="A4261"/>
      <c r="B4261"/>
      <c r="P4261"/>
      <c r="R4261"/>
      <c r="S4261"/>
      <c r="T4261"/>
    </row>
    <row r="4262" spans="1:20" ht="17.25" customHeight="1">
      <c r="A4262"/>
      <c r="B4262"/>
      <c r="P4262"/>
      <c r="R4262"/>
      <c r="S4262"/>
      <c r="T4262"/>
    </row>
    <row r="4263" spans="1:20" ht="17.25" customHeight="1">
      <c r="A4263"/>
      <c r="B4263"/>
      <c r="P4263"/>
      <c r="R4263"/>
      <c r="S4263"/>
      <c r="T4263"/>
    </row>
    <row r="4264" spans="1:20" ht="17.25" customHeight="1">
      <c r="A4264"/>
      <c r="B4264"/>
      <c r="P4264"/>
      <c r="R4264"/>
      <c r="S4264"/>
      <c r="T4264"/>
    </row>
    <row r="4265" spans="1:20" ht="17.25" customHeight="1">
      <c r="A4265"/>
      <c r="B4265"/>
      <c r="P4265"/>
      <c r="R4265"/>
      <c r="S4265"/>
      <c r="T4265"/>
    </row>
    <row r="4266" spans="1:20" ht="17.25" customHeight="1">
      <c r="A4266"/>
      <c r="B4266"/>
      <c r="P4266"/>
      <c r="R4266"/>
      <c r="S4266"/>
      <c r="T4266"/>
    </row>
    <row r="4267" spans="1:20" ht="17.25" customHeight="1">
      <c r="A4267"/>
      <c r="B4267"/>
      <c r="P4267"/>
      <c r="R4267"/>
      <c r="S4267"/>
      <c r="T4267"/>
    </row>
    <row r="4268" spans="1:20" ht="17.25" customHeight="1">
      <c r="A4268"/>
      <c r="B4268"/>
      <c r="P4268"/>
      <c r="R4268"/>
      <c r="S4268"/>
      <c r="T4268"/>
    </row>
    <row r="4269" spans="1:20" ht="17.25" customHeight="1">
      <c r="A4269"/>
      <c r="B4269"/>
      <c r="P4269"/>
      <c r="R4269"/>
      <c r="S4269"/>
      <c r="T4269"/>
    </row>
    <row r="4270" spans="1:20" ht="17.25" customHeight="1">
      <c r="A4270"/>
      <c r="B4270"/>
      <c r="P4270"/>
      <c r="R4270"/>
      <c r="S4270"/>
      <c r="T4270"/>
    </row>
    <row r="4271" spans="1:20" ht="17.25" customHeight="1">
      <c r="A4271"/>
      <c r="B4271"/>
      <c r="P4271"/>
      <c r="R4271"/>
      <c r="S4271"/>
      <c r="T4271"/>
    </row>
    <row r="4272" spans="1:20" ht="17.25" customHeight="1">
      <c r="A4272"/>
      <c r="B4272"/>
      <c r="P4272"/>
      <c r="R4272"/>
      <c r="S4272"/>
      <c r="T4272"/>
    </row>
    <row r="4273" spans="1:20" ht="17.25" customHeight="1">
      <c r="A4273"/>
      <c r="B4273"/>
      <c r="P4273"/>
      <c r="R4273"/>
      <c r="S4273"/>
      <c r="T4273"/>
    </row>
    <row r="4274" spans="1:20" ht="17.25" customHeight="1">
      <c r="A4274"/>
      <c r="B4274"/>
      <c r="P4274"/>
      <c r="R4274"/>
      <c r="S4274"/>
      <c r="T4274"/>
    </row>
    <row r="4275" spans="1:20" ht="17.25" customHeight="1">
      <c r="A4275"/>
      <c r="B4275"/>
      <c r="P4275"/>
      <c r="R4275"/>
      <c r="S4275"/>
      <c r="T4275"/>
    </row>
    <row r="4276" spans="1:20" ht="17.25" customHeight="1">
      <c r="A4276"/>
      <c r="B4276"/>
      <c r="P4276"/>
      <c r="R4276"/>
      <c r="S4276"/>
      <c r="T4276"/>
    </row>
    <row r="4277" spans="1:20" ht="17.25" customHeight="1">
      <c r="A4277"/>
      <c r="B4277"/>
      <c r="P4277"/>
      <c r="R4277"/>
      <c r="S4277"/>
      <c r="T4277"/>
    </row>
    <row r="4278" spans="1:20" ht="17.25" customHeight="1">
      <c r="A4278"/>
      <c r="B4278"/>
      <c r="P4278"/>
      <c r="R4278"/>
      <c r="S4278"/>
      <c r="T4278"/>
    </row>
    <row r="4279" spans="1:20" ht="17.25" customHeight="1">
      <c r="A4279"/>
      <c r="B4279"/>
      <c r="P4279"/>
      <c r="R4279"/>
      <c r="S4279"/>
      <c r="T4279"/>
    </row>
    <row r="4280" spans="1:20" ht="17.25" customHeight="1">
      <c r="A4280"/>
      <c r="B4280"/>
      <c r="P4280"/>
      <c r="R4280"/>
      <c r="S4280"/>
      <c r="T4280"/>
    </row>
    <row r="4281" spans="1:20" ht="17.25" customHeight="1">
      <c r="A4281"/>
      <c r="B4281"/>
      <c r="P4281"/>
      <c r="R4281"/>
      <c r="S4281"/>
      <c r="T4281"/>
    </row>
    <row r="4282" spans="1:20" ht="17.25" customHeight="1">
      <c r="A4282"/>
      <c r="B4282"/>
      <c r="P4282"/>
      <c r="R4282"/>
      <c r="S4282"/>
      <c r="T4282"/>
    </row>
    <row r="4283" spans="1:20" ht="17.25" customHeight="1">
      <c r="A4283"/>
      <c r="B4283"/>
      <c r="P4283"/>
      <c r="R4283"/>
      <c r="S4283"/>
      <c r="T4283"/>
    </row>
    <row r="4284" spans="1:20" ht="17.25" customHeight="1">
      <c r="A4284"/>
      <c r="B4284"/>
      <c r="P4284"/>
      <c r="R4284"/>
      <c r="S4284"/>
      <c r="T4284"/>
    </row>
    <row r="4285" spans="1:20" ht="17.25" customHeight="1">
      <c r="A4285"/>
      <c r="B4285"/>
      <c r="P4285"/>
      <c r="R4285"/>
      <c r="S4285"/>
      <c r="T4285"/>
    </row>
    <row r="4286" spans="1:20" ht="17.25" customHeight="1">
      <c r="A4286"/>
      <c r="B4286"/>
      <c r="P4286"/>
      <c r="R4286"/>
      <c r="S4286"/>
      <c r="T4286"/>
    </row>
    <row r="4287" spans="1:20" ht="17.25" customHeight="1">
      <c r="A4287"/>
      <c r="B4287"/>
      <c r="P4287"/>
      <c r="R4287"/>
      <c r="S4287"/>
      <c r="T4287"/>
    </row>
    <row r="4288" spans="1:20" ht="17.25" customHeight="1">
      <c r="A4288"/>
      <c r="B4288"/>
      <c r="P4288"/>
      <c r="R4288"/>
      <c r="S4288"/>
      <c r="T4288"/>
    </row>
    <row r="4289" spans="1:20" ht="17.25" customHeight="1">
      <c r="A4289"/>
      <c r="B4289"/>
      <c r="P4289"/>
      <c r="R4289"/>
      <c r="S4289"/>
      <c r="T4289"/>
    </row>
    <row r="4290" spans="1:20" ht="17.25" customHeight="1">
      <c r="A4290"/>
      <c r="B4290"/>
      <c r="P4290"/>
      <c r="R4290"/>
      <c r="S4290"/>
      <c r="T4290"/>
    </row>
    <row r="4291" spans="1:20" ht="17.25" customHeight="1">
      <c r="A4291"/>
      <c r="B4291"/>
      <c r="P4291"/>
      <c r="R4291"/>
      <c r="S4291"/>
      <c r="T4291"/>
    </row>
    <row r="4292" spans="1:20" ht="17.25" customHeight="1">
      <c r="A4292"/>
      <c r="B4292"/>
      <c r="P4292"/>
      <c r="R4292"/>
      <c r="S4292"/>
      <c r="T4292"/>
    </row>
    <row r="4293" spans="1:20" ht="17.25" customHeight="1">
      <c r="A4293"/>
      <c r="B4293"/>
      <c r="P4293"/>
      <c r="R4293"/>
      <c r="S4293"/>
      <c r="T4293"/>
    </row>
    <row r="4294" spans="1:20" ht="17.25" customHeight="1">
      <c r="A4294"/>
      <c r="B4294"/>
      <c r="P4294"/>
      <c r="R4294"/>
      <c r="S4294"/>
      <c r="T4294"/>
    </row>
    <row r="4295" spans="1:20" ht="17.25" customHeight="1">
      <c r="A4295"/>
      <c r="B4295"/>
      <c r="P4295"/>
      <c r="R4295"/>
      <c r="S4295"/>
      <c r="T4295"/>
    </row>
    <row r="4296" spans="1:20" ht="17.25" customHeight="1">
      <c r="A4296"/>
      <c r="B4296"/>
      <c r="P4296"/>
      <c r="R4296"/>
      <c r="S4296"/>
      <c r="T4296"/>
    </row>
    <row r="4297" spans="1:20" ht="17.25" customHeight="1">
      <c r="A4297"/>
      <c r="B4297"/>
      <c r="P4297"/>
      <c r="R4297"/>
      <c r="S4297"/>
      <c r="T4297"/>
    </row>
    <row r="4298" spans="1:20" ht="17.25" customHeight="1">
      <c r="A4298"/>
      <c r="B4298"/>
      <c r="P4298"/>
      <c r="R4298"/>
      <c r="S4298"/>
      <c r="T4298"/>
    </row>
    <row r="4299" spans="1:20" ht="17.25" customHeight="1">
      <c r="A4299"/>
      <c r="B4299"/>
      <c r="P4299"/>
      <c r="R4299"/>
      <c r="S4299"/>
      <c r="T4299"/>
    </row>
    <row r="4300" spans="1:20" ht="17.25" customHeight="1">
      <c r="A4300"/>
      <c r="B4300"/>
      <c r="P4300"/>
      <c r="R4300"/>
      <c r="S4300"/>
      <c r="T4300"/>
    </row>
    <row r="4301" spans="1:20" ht="17.25" customHeight="1">
      <c r="A4301"/>
      <c r="B4301"/>
      <c r="P4301"/>
      <c r="R4301"/>
      <c r="S4301"/>
      <c r="T4301"/>
    </row>
    <row r="4302" spans="1:20" ht="17.25" customHeight="1">
      <c r="A4302"/>
      <c r="B4302"/>
      <c r="P4302"/>
      <c r="R4302"/>
      <c r="S4302"/>
      <c r="T4302"/>
    </row>
    <row r="4303" spans="1:20" ht="17.25" customHeight="1">
      <c r="A4303"/>
      <c r="B4303"/>
      <c r="P4303"/>
      <c r="R4303"/>
      <c r="S4303"/>
      <c r="T4303"/>
    </row>
    <row r="4304" spans="1:20" ht="17.25" customHeight="1">
      <c r="A4304"/>
      <c r="B4304"/>
      <c r="P4304"/>
      <c r="R4304"/>
      <c r="S4304"/>
      <c r="T4304"/>
    </row>
    <row r="4305" spans="1:20" ht="17.25" customHeight="1">
      <c r="A4305"/>
      <c r="B4305"/>
      <c r="P4305"/>
      <c r="R4305"/>
      <c r="S4305"/>
      <c r="T4305"/>
    </row>
    <row r="4306" spans="1:20" ht="17.25" customHeight="1">
      <c r="A4306"/>
      <c r="B4306"/>
      <c r="P4306"/>
      <c r="R4306"/>
      <c r="S4306"/>
      <c r="T4306"/>
    </row>
    <row r="4307" spans="1:20" ht="17.25" customHeight="1">
      <c r="A4307"/>
      <c r="B4307"/>
      <c r="P4307"/>
      <c r="R4307"/>
      <c r="S4307"/>
      <c r="T4307"/>
    </row>
    <row r="4308" spans="1:20" ht="17.25" customHeight="1">
      <c r="A4308"/>
      <c r="B4308"/>
      <c r="P4308"/>
      <c r="R4308"/>
      <c r="S4308"/>
      <c r="T4308"/>
    </row>
    <row r="4309" spans="1:20" ht="17.25" customHeight="1">
      <c r="A4309"/>
      <c r="B4309"/>
      <c r="P4309"/>
      <c r="R4309"/>
      <c r="S4309"/>
      <c r="T4309"/>
    </row>
    <row r="4310" spans="1:20" ht="17.25" customHeight="1">
      <c r="A4310"/>
      <c r="B4310"/>
      <c r="P4310"/>
      <c r="R4310"/>
      <c r="S4310"/>
      <c r="T4310"/>
    </row>
    <row r="4311" spans="1:20" ht="17.25" customHeight="1">
      <c r="A4311"/>
      <c r="B4311"/>
      <c r="P4311"/>
      <c r="R4311"/>
      <c r="S4311"/>
      <c r="T4311"/>
    </row>
    <row r="4312" spans="1:20" ht="17.25" customHeight="1">
      <c r="A4312"/>
      <c r="B4312"/>
      <c r="P4312"/>
      <c r="R4312"/>
      <c r="S4312"/>
      <c r="T4312"/>
    </row>
    <row r="4313" spans="1:20" ht="17.25" customHeight="1">
      <c r="A4313"/>
      <c r="B4313"/>
      <c r="P4313"/>
      <c r="R4313"/>
      <c r="S4313"/>
      <c r="T4313"/>
    </row>
    <row r="4314" spans="1:20" ht="17.25" customHeight="1">
      <c r="A4314"/>
      <c r="B4314"/>
      <c r="P4314"/>
      <c r="R4314"/>
      <c r="S4314"/>
      <c r="T4314"/>
    </row>
    <row r="4315" spans="1:20" ht="17.25" customHeight="1">
      <c r="A4315"/>
      <c r="B4315"/>
      <c r="P4315"/>
      <c r="R4315"/>
      <c r="S4315"/>
      <c r="T4315"/>
    </row>
    <row r="4316" spans="1:20" ht="17.25" customHeight="1">
      <c r="A4316"/>
      <c r="B4316"/>
      <c r="P4316"/>
      <c r="R4316"/>
      <c r="S4316"/>
      <c r="T4316"/>
    </row>
    <row r="4317" spans="1:20" ht="17.25" customHeight="1">
      <c r="A4317"/>
      <c r="B4317"/>
      <c r="P4317"/>
      <c r="R4317"/>
      <c r="S4317"/>
      <c r="T4317"/>
    </row>
    <row r="4318" spans="1:20" ht="17.25" customHeight="1">
      <c r="A4318"/>
      <c r="B4318"/>
      <c r="P4318"/>
      <c r="R4318"/>
      <c r="S4318"/>
      <c r="T4318"/>
    </row>
    <row r="4319" spans="1:20" ht="17.25" customHeight="1">
      <c r="A4319"/>
      <c r="B4319"/>
      <c r="P4319"/>
      <c r="R4319"/>
      <c r="S4319"/>
      <c r="T4319"/>
    </row>
    <row r="4320" spans="1:20" ht="17.25" customHeight="1">
      <c r="A4320"/>
      <c r="B4320"/>
      <c r="P4320"/>
      <c r="R4320"/>
      <c r="S4320"/>
      <c r="T4320"/>
    </row>
    <row r="4321" spans="1:20" ht="17.25" customHeight="1">
      <c r="A4321"/>
      <c r="B4321"/>
      <c r="P4321"/>
      <c r="R4321"/>
      <c r="S4321"/>
      <c r="T4321"/>
    </row>
    <row r="4322" spans="1:20" ht="17.25" customHeight="1">
      <c r="A4322"/>
      <c r="B4322"/>
      <c r="P4322"/>
      <c r="R4322"/>
      <c r="S4322"/>
      <c r="T4322"/>
    </row>
    <row r="4323" spans="1:20" ht="17.25" customHeight="1">
      <c r="A4323"/>
      <c r="B4323"/>
      <c r="P4323"/>
      <c r="R4323"/>
      <c r="S4323"/>
      <c r="T4323"/>
    </row>
    <row r="4324" spans="1:20" ht="17.25" customHeight="1">
      <c r="A4324"/>
      <c r="B4324"/>
      <c r="P4324"/>
      <c r="R4324"/>
      <c r="S4324"/>
      <c r="T4324"/>
    </row>
    <row r="4325" spans="1:20" ht="17.25" customHeight="1">
      <c r="A4325"/>
      <c r="B4325"/>
      <c r="P4325"/>
      <c r="R4325"/>
      <c r="S4325"/>
      <c r="T4325"/>
    </row>
    <row r="4326" spans="1:20" ht="17.25" customHeight="1">
      <c r="A4326"/>
      <c r="B4326"/>
      <c r="P4326"/>
      <c r="R4326"/>
      <c r="S4326"/>
      <c r="T4326"/>
    </row>
    <row r="4327" spans="1:20" ht="17.25" customHeight="1">
      <c r="A4327"/>
      <c r="B4327"/>
      <c r="P4327"/>
      <c r="R4327"/>
      <c r="S4327"/>
      <c r="T4327"/>
    </row>
    <row r="4328" spans="1:20" ht="17.25" customHeight="1">
      <c r="A4328"/>
      <c r="B4328"/>
      <c r="P4328"/>
      <c r="R4328"/>
      <c r="S4328"/>
      <c r="T4328"/>
    </row>
    <row r="4329" spans="1:20" ht="17.25" customHeight="1">
      <c r="A4329"/>
      <c r="B4329"/>
      <c r="P4329"/>
      <c r="R4329"/>
      <c r="S4329"/>
      <c r="T4329"/>
    </row>
    <row r="4330" spans="1:20" ht="17.25" customHeight="1">
      <c r="A4330"/>
      <c r="B4330"/>
      <c r="P4330"/>
      <c r="R4330"/>
      <c r="S4330"/>
      <c r="T4330"/>
    </row>
    <row r="4331" spans="1:20" ht="17.25" customHeight="1">
      <c r="A4331"/>
      <c r="B4331"/>
      <c r="P4331"/>
      <c r="R4331"/>
      <c r="S4331"/>
      <c r="T4331"/>
    </row>
    <row r="4332" spans="1:20" ht="17.25" customHeight="1">
      <c r="A4332"/>
      <c r="B4332"/>
      <c r="P4332"/>
      <c r="R4332"/>
      <c r="S4332"/>
      <c r="T4332"/>
    </row>
    <row r="4333" spans="1:20" ht="17.25" customHeight="1">
      <c r="A4333"/>
      <c r="B4333"/>
      <c r="P4333"/>
      <c r="R4333"/>
      <c r="S4333"/>
      <c r="T4333"/>
    </row>
    <row r="4334" spans="1:20" ht="17.25" customHeight="1">
      <c r="A4334"/>
      <c r="B4334"/>
      <c r="P4334"/>
      <c r="R4334"/>
      <c r="S4334"/>
      <c r="T4334"/>
    </row>
    <row r="4335" spans="1:20" ht="17.25" customHeight="1">
      <c r="A4335"/>
      <c r="B4335"/>
      <c r="P4335"/>
      <c r="R4335"/>
      <c r="S4335"/>
      <c r="T4335"/>
    </row>
    <row r="4336" spans="1:20" ht="17.25" customHeight="1">
      <c r="A4336"/>
      <c r="B4336"/>
      <c r="P4336"/>
      <c r="R4336"/>
      <c r="S4336"/>
      <c r="T4336"/>
    </row>
    <row r="4337" spans="1:20" ht="17.25" customHeight="1">
      <c r="A4337"/>
      <c r="B4337"/>
      <c r="P4337"/>
      <c r="R4337"/>
      <c r="S4337"/>
      <c r="T4337"/>
    </row>
    <row r="4338" spans="1:20" ht="17.25" customHeight="1">
      <c r="A4338"/>
      <c r="B4338"/>
      <c r="P4338"/>
      <c r="R4338"/>
      <c r="S4338"/>
      <c r="T4338"/>
    </row>
    <row r="4339" spans="1:20" ht="17.25" customHeight="1">
      <c r="A4339"/>
      <c r="B4339"/>
      <c r="P4339"/>
      <c r="R4339"/>
      <c r="S4339"/>
      <c r="T4339"/>
    </row>
    <row r="4340" spans="1:20" ht="17.25" customHeight="1">
      <c r="A4340"/>
      <c r="B4340"/>
      <c r="P4340"/>
      <c r="R4340"/>
      <c r="S4340"/>
      <c r="T4340"/>
    </row>
    <row r="4341" spans="1:20" ht="17.25" customHeight="1">
      <c r="A4341"/>
      <c r="B4341"/>
      <c r="P4341"/>
      <c r="R4341"/>
      <c r="S4341"/>
      <c r="T4341"/>
    </row>
    <row r="4342" spans="1:20" ht="17.25" customHeight="1">
      <c r="A4342"/>
      <c r="B4342"/>
      <c r="P4342"/>
      <c r="R4342"/>
      <c r="S4342"/>
      <c r="T4342"/>
    </row>
    <row r="4343" spans="1:20" ht="17.25" customHeight="1">
      <c r="A4343"/>
      <c r="B4343"/>
      <c r="P4343"/>
      <c r="R4343"/>
      <c r="S4343"/>
      <c r="T4343"/>
    </row>
    <row r="4344" spans="1:20" ht="17.25" customHeight="1">
      <c r="A4344"/>
      <c r="B4344"/>
      <c r="P4344"/>
      <c r="R4344"/>
      <c r="S4344"/>
      <c r="T4344"/>
    </row>
    <row r="4345" spans="1:20" ht="17.25" customHeight="1">
      <c r="A4345"/>
      <c r="B4345"/>
      <c r="P4345"/>
      <c r="R4345"/>
      <c r="S4345"/>
      <c r="T4345"/>
    </row>
    <row r="4346" spans="1:20" ht="17.25" customHeight="1">
      <c r="A4346"/>
      <c r="B4346"/>
      <c r="P4346"/>
      <c r="R4346"/>
      <c r="S4346"/>
      <c r="T4346"/>
    </row>
    <row r="4347" spans="1:20" ht="17.25" customHeight="1">
      <c r="A4347"/>
      <c r="B4347"/>
      <c r="P4347"/>
      <c r="R4347"/>
      <c r="S4347"/>
      <c r="T4347"/>
    </row>
    <row r="4348" spans="1:20" ht="17.25" customHeight="1">
      <c r="A4348"/>
      <c r="B4348"/>
      <c r="P4348"/>
      <c r="R4348"/>
      <c r="S4348"/>
      <c r="T4348"/>
    </row>
    <row r="4349" spans="1:20" ht="17.25" customHeight="1">
      <c r="A4349"/>
      <c r="B4349"/>
      <c r="P4349"/>
      <c r="R4349"/>
      <c r="S4349"/>
      <c r="T4349"/>
    </row>
    <row r="4350" spans="1:20" ht="17.25" customHeight="1">
      <c r="A4350"/>
      <c r="B4350"/>
      <c r="P4350"/>
      <c r="R4350"/>
      <c r="S4350"/>
      <c r="T4350"/>
    </row>
    <row r="4351" spans="1:20" ht="17.25" customHeight="1">
      <c r="A4351"/>
      <c r="B4351"/>
      <c r="P4351"/>
      <c r="R4351"/>
      <c r="S4351"/>
      <c r="T4351"/>
    </row>
    <row r="4352" spans="1:20" ht="17.25" customHeight="1">
      <c r="A4352"/>
      <c r="B4352"/>
      <c r="P4352"/>
      <c r="R4352"/>
      <c r="S4352"/>
      <c r="T4352"/>
    </row>
    <row r="4353" spans="1:20" ht="17.25" customHeight="1">
      <c r="A4353"/>
      <c r="B4353"/>
      <c r="P4353"/>
      <c r="R4353"/>
      <c r="S4353"/>
      <c r="T4353"/>
    </row>
    <row r="4354" spans="1:20" ht="17.25" customHeight="1">
      <c r="A4354"/>
      <c r="B4354"/>
      <c r="P4354"/>
      <c r="R4354"/>
      <c r="S4354"/>
      <c r="T4354"/>
    </row>
    <row r="4355" spans="1:20" ht="17.25" customHeight="1">
      <c r="A4355"/>
      <c r="B4355"/>
      <c r="P4355"/>
      <c r="R4355"/>
      <c r="S4355"/>
      <c r="T4355"/>
    </row>
    <row r="4356" spans="1:20" ht="17.25" customHeight="1">
      <c r="A4356"/>
      <c r="B4356"/>
      <c r="P4356"/>
      <c r="R4356"/>
      <c r="S4356"/>
      <c r="T4356"/>
    </row>
    <row r="4357" spans="1:20" ht="17.25" customHeight="1">
      <c r="A4357"/>
      <c r="B4357"/>
      <c r="P4357"/>
      <c r="R4357"/>
      <c r="S4357"/>
      <c r="T4357"/>
    </row>
    <row r="4358" spans="1:20" ht="17.25" customHeight="1">
      <c r="A4358"/>
      <c r="B4358"/>
      <c r="P4358"/>
      <c r="R4358"/>
      <c r="S4358"/>
      <c r="T4358"/>
    </row>
    <row r="4359" spans="1:20" ht="17.25" customHeight="1">
      <c r="A4359"/>
      <c r="B4359"/>
      <c r="P4359"/>
      <c r="R4359"/>
      <c r="S4359"/>
      <c r="T4359"/>
    </row>
    <row r="4360" spans="1:20" ht="17.25" customHeight="1">
      <c r="A4360"/>
      <c r="B4360"/>
      <c r="P4360"/>
      <c r="R4360"/>
      <c r="S4360"/>
      <c r="T4360"/>
    </row>
    <row r="4361" spans="1:20" ht="17.25" customHeight="1">
      <c r="A4361"/>
      <c r="B4361"/>
      <c r="P4361"/>
      <c r="R4361"/>
      <c r="S4361"/>
      <c r="T4361"/>
    </row>
    <row r="4362" spans="1:20" ht="17.25" customHeight="1">
      <c r="A4362"/>
      <c r="B4362"/>
      <c r="P4362"/>
      <c r="R4362"/>
      <c r="S4362"/>
      <c r="T4362"/>
    </row>
    <row r="4363" spans="1:20" ht="17.25" customHeight="1">
      <c r="A4363"/>
      <c r="B4363"/>
      <c r="P4363"/>
      <c r="R4363"/>
      <c r="S4363"/>
      <c r="T4363"/>
    </row>
    <row r="4364" spans="1:20" ht="17.25" customHeight="1">
      <c r="A4364"/>
      <c r="B4364"/>
      <c r="P4364"/>
      <c r="R4364"/>
      <c r="S4364"/>
      <c r="T4364"/>
    </row>
    <row r="4365" spans="1:20" ht="17.25" customHeight="1">
      <c r="A4365"/>
      <c r="B4365"/>
      <c r="P4365"/>
      <c r="R4365"/>
      <c r="S4365"/>
      <c r="T4365"/>
    </row>
    <row r="4366" spans="1:20" ht="17.25" customHeight="1">
      <c r="A4366"/>
      <c r="B4366"/>
      <c r="P4366"/>
      <c r="R4366"/>
      <c r="S4366"/>
      <c r="T4366"/>
    </row>
    <row r="4367" spans="1:20" ht="17.25" customHeight="1">
      <c r="A4367"/>
      <c r="B4367"/>
      <c r="P4367"/>
      <c r="R4367"/>
      <c r="S4367"/>
      <c r="T4367"/>
    </row>
    <row r="4368" spans="1:20" ht="17.25" customHeight="1">
      <c r="A4368"/>
      <c r="B4368"/>
      <c r="P4368"/>
      <c r="R4368"/>
      <c r="S4368"/>
      <c r="T4368"/>
    </row>
    <row r="4369" spans="1:20" ht="17.25" customHeight="1">
      <c r="A4369"/>
      <c r="B4369"/>
      <c r="P4369"/>
      <c r="R4369"/>
      <c r="S4369"/>
      <c r="T4369"/>
    </row>
    <row r="4370" spans="1:20" ht="17.25" customHeight="1">
      <c r="A4370"/>
      <c r="B4370"/>
      <c r="P4370"/>
      <c r="R4370"/>
      <c r="S4370"/>
      <c r="T4370"/>
    </row>
    <row r="4371" spans="1:20" ht="17.25" customHeight="1">
      <c r="A4371"/>
      <c r="B4371"/>
      <c r="P4371"/>
      <c r="R4371"/>
      <c r="S4371"/>
      <c r="T4371"/>
    </row>
    <row r="4372" spans="1:20" ht="17.25" customHeight="1">
      <c r="A4372"/>
      <c r="B4372"/>
      <c r="P4372"/>
      <c r="R4372"/>
      <c r="S4372"/>
      <c r="T4372"/>
    </row>
    <row r="4373" spans="1:20" ht="17.25" customHeight="1">
      <c r="A4373"/>
      <c r="B4373"/>
      <c r="P4373"/>
      <c r="R4373"/>
      <c r="S4373"/>
      <c r="T4373"/>
    </row>
    <row r="4374" spans="1:20" ht="17.25" customHeight="1">
      <c r="A4374"/>
      <c r="B4374"/>
      <c r="P4374"/>
      <c r="R4374"/>
      <c r="S4374"/>
      <c r="T4374"/>
    </row>
    <row r="4375" spans="1:20" ht="17.25" customHeight="1">
      <c r="A4375"/>
      <c r="B4375"/>
      <c r="P4375"/>
      <c r="R4375"/>
      <c r="S4375"/>
      <c r="T4375"/>
    </row>
    <row r="4376" spans="1:20" ht="17.25" customHeight="1">
      <c r="A4376"/>
      <c r="B4376"/>
      <c r="P4376"/>
      <c r="R4376"/>
      <c r="S4376"/>
      <c r="T4376"/>
    </row>
    <row r="4377" spans="1:20" ht="17.25" customHeight="1">
      <c r="A4377"/>
      <c r="B4377"/>
      <c r="P4377"/>
      <c r="R4377"/>
      <c r="S4377"/>
      <c r="T4377"/>
    </row>
    <row r="4378" spans="1:20" ht="17.25" customHeight="1">
      <c r="A4378"/>
      <c r="B4378"/>
      <c r="P4378"/>
      <c r="R4378"/>
      <c r="S4378"/>
      <c r="T4378"/>
    </row>
    <row r="4379" spans="1:20" ht="17.25" customHeight="1">
      <c r="A4379"/>
      <c r="B4379"/>
      <c r="P4379"/>
      <c r="R4379"/>
      <c r="S4379"/>
      <c r="T4379"/>
    </row>
    <row r="4380" spans="1:20" ht="17.25" customHeight="1">
      <c r="A4380"/>
      <c r="B4380"/>
      <c r="P4380"/>
      <c r="R4380"/>
      <c r="S4380"/>
      <c r="T4380"/>
    </row>
    <row r="4381" spans="1:20" ht="17.25" customHeight="1">
      <c r="A4381"/>
      <c r="B4381"/>
      <c r="P4381"/>
      <c r="R4381"/>
      <c r="S4381"/>
      <c r="T4381"/>
    </row>
    <row r="4382" spans="1:20" ht="17.25" customHeight="1">
      <c r="A4382"/>
      <c r="B4382"/>
      <c r="P4382"/>
      <c r="R4382"/>
      <c r="S4382"/>
      <c r="T4382"/>
    </row>
    <row r="4383" spans="1:20" ht="17.25" customHeight="1">
      <c r="A4383"/>
      <c r="B4383"/>
      <c r="P4383"/>
      <c r="R4383"/>
      <c r="S4383"/>
      <c r="T4383"/>
    </row>
    <row r="4384" spans="1:20" ht="17.25" customHeight="1">
      <c r="A4384"/>
      <c r="B4384"/>
      <c r="P4384"/>
      <c r="R4384"/>
      <c r="S4384"/>
      <c r="T4384"/>
    </row>
    <row r="4385" spans="1:20" ht="17.25" customHeight="1">
      <c r="A4385"/>
      <c r="B4385"/>
      <c r="P4385"/>
      <c r="R4385"/>
      <c r="S4385"/>
      <c r="T4385"/>
    </row>
    <row r="4386" spans="1:20" ht="17.25" customHeight="1">
      <c r="A4386"/>
      <c r="B4386"/>
      <c r="P4386"/>
      <c r="R4386"/>
      <c r="S4386"/>
      <c r="T4386"/>
    </row>
    <row r="4387" spans="1:20" ht="17.25" customHeight="1">
      <c r="A4387"/>
      <c r="B4387"/>
      <c r="P4387"/>
      <c r="R4387"/>
      <c r="S4387"/>
      <c r="T4387"/>
    </row>
    <row r="4388" spans="1:20" ht="17.25" customHeight="1">
      <c r="A4388"/>
      <c r="B4388"/>
      <c r="P4388"/>
      <c r="R4388"/>
      <c r="S4388"/>
      <c r="T4388"/>
    </row>
    <row r="4389" spans="1:20" ht="17.25" customHeight="1">
      <c r="A4389"/>
      <c r="B4389"/>
      <c r="P4389"/>
      <c r="R4389"/>
      <c r="S4389"/>
      <c r="T4389"/>
    </row>
    <row r="4390" spans="1:20" ht="17.25" customHeight="1">
      <c r="A4390"/>
      <c r="B4390"/>
      <c r="P4390"/>
      <c r="R4390"/>
      <c r="S4390"/>
      <c r="T4390"/>
    </row>
    <row r="4391" spans="1:20" ht="17.25" customHeight="1">
      <c r="A4391"/>
      <c r="B4391"/>
      <c r="P4391"/>
      <c r="R4391"/>
      <c r="S4391"/>
      <c r="T4391"/>
    </row>
    <row r="4392" spans="1:20" ht="17.25" customHeight="1">
      <c r="A4392"/>
      <c r="B4392"/>
      <c r="P4392"/>
      <c r="R4392"/>
      <c r="S4392"/>
      <c r="T4392"/>
    </row>
    <row r="4393" spans="1:20" ht="17.25" customHeight="1">
      <c r="A4393"/>
      <c r="B4393"/>
      <c r="P4393"/>
      <c r="R4393"/>
      <c r="S4393"/>
      <c r="T4393"/>
    </row>
    <row r="4394" spans="1:20" ht="17.25" customHeight="1">
      <c r="A4394"/>
      <c r="B4394"/>
      <c r="P4394"/>
      <c r="R4394"/>
      <c r="S4394"/>
      <c r="T4394"/>
    </row>
    <row r="4395" spans="1:20" ht="17.25" customHeight="1">
      <c r="A4395"/>
      <c r="B4395"/>
      <c r="P4395"/>
      <c r="R4395"/>
      <c r="S4395"/>
      <c r="T4395"/>
    </row>
    <row r="4396" spans="1:20" ht="17.25" customHeight="1">
      <c r="A4396"/>
      <c r="B4396"/>
      <c r="P4396"/>
      <c r="R4396"/>
      <c r="S4396"/>
      <c r="T4396"/>
    </row>
    <row r="4397" spans="1:20" ht="17.25" customHeight="1">
      <c r="A4397"/>
      <c r="B4397"/>
      <c r="P4397"/>
      <c r="R4397"/>
      <c r="S4397"/>
      <c r="T4397"/>
    </row>
    <row r="4398" spans="1:20" ht="17.25" customHeight="1">
      <c r="A4398"/>
      <c r="B4398"/>
      <c r="P4398"/>
      <c r="R4398"/>
      <c r="S4398"/>
      <c r="T4398"/>
    </row>
    <row r="4399" spans="1:20" ht="17.25" customHeight="1">
      <c r="A4399"/>
      <c r="B4399"/>
      <c r="P4399"/>
      <c r="R4399"/>
      <c r="S4399"/>
      <c r="T4399"/>
    </row>
    <row r="4400" spans="1:20" ht="17.25" customHeight="1">
      <c r="A4400"/>
      <c r="B4400"/>
      <c r="P4400"/>
      <c r="R4400"/>
      <c r="S4400"/>
      <c r="T4400"/>
    </row>
    <row r="4401" spans="1:20" ht="17.25" customHeight="1">
      <c r="A4401"/>
      <c r="B4401"/>
      <c r="P4401"/>
      <c r="R4401"/>
      <c r="S4401"/>
      <c r="T4401"/>
    </row>
    <row r="4402" spans="1:20" ht="17.25" customHeight="1">
      <c r="A4402"/>
      <c r="B4402"/>
      <c r="P4402"/>
      <c r="R4402"/>
      <c r="S4402"/>
      <c r="T4402"/>
    </row>
    <row r="4403" spans="1:20" ht="17.25" customHeight="1">
      <c r="A4403"/>
      <c r="B4403"/>
      <c r="P4403"/>
      <c r="R4403"/>
      <c r="S4403"/>
      <c r="T4403"/>
    </row>
    <row r="4404" spans="1:20" ht="17.25" customHeight="1">
      <c r="A4404"/>
      <c r="B4404"/>
      <c r="P4404"/>
      <c r="R4404"/>
      <c r="S4404"/>
      <c r="T4404"/>
    </row>
    <row r="4405" spans="1:20" ht="17.25" customHeight="1">
      <c r="A4405"/>
      <c r="B4405"/>
      <c r="P4405"/>
      <c r="R4405"/>
      <c r="S4405"/>
      <c r="T4405"/>
    </row>
    <row r="4406" spans="1:20" ht="17.25" customHeight="1">
      <c r="A4406"/>
      <c r="B4406"/>
      <c r="P4406"/>
      <c r="R4406"/>
      <c r="S4406"/>
      <c r="T4406"/>
    </row>
    <row r="4407" spans="1:20" ht="17.25" customHeight="1">
      <c r="A4407"/>
      <c r="B4407"/>
      <c r="P4407"/>
      <c r="R4407"/>
      <c r="S4407"/>
      <c r="T4407"/>
    </row>
    <row r="4408" spans="1:20" ht="17.25" customHeight="1">
      <c r="A4408"/>
      <c r="B4408"/>
      <c r="P4408"/>
      <c r="R4408"/>
      <c r="S4408"/>
      <c r="T4408"/>
    </row>
    <row r="4409" spans="1:20" ht="17.25" customHeight="1">
      <c r="A4409"/>
      <c r="B4409"/>
      <c r="P4409"/>
      <c r="R4409"/>
      <c r="S4409"/>
      <c r="T4409"/>
    </row>
    <row r="4410" spans="1:20" ht="17.25" customHeight="1">
      <c r="A4410"/>
      <c r="B4410"/>
      <c r="P4410"/>
      <c r="R4410"/>
      <c r="S4410"/>
      <c r="T4410"/>
    </row>
    <row r="4411" spans="1:20" ht="17.25" customHeight="1">
      <c r="A4411"/>
      <c r="B4411"/>
      <c r="P4411"/>
      <c r="R4411"/>
      <c r="S4411"/>
      <c r="T4411"/>
    </row>
    <row r="4412" spans="1:20" ht="17.25" customHeight="1">
      <c r="A4412"/>
      <c r="B4412"/>
      <c r="P4412"/>
      <c r="R4412"/>
      <c r="S4412"/>
      <c r="T4412"/>
    </row>
    <row r="4413" spans="1:20" ht="17.25" customHeight="1">
      <c r="A4413"/>
      <c r="B4413"/>
      <c r="P4413"/>
      <c r="R4413"/>
      <c r="S4413"/>
      <c r="T4413"/>
    </row>
    <row r="4414" spans="1:20" ht="17.25" customHeight="1">
      <c r="A4414"/>
      <c r="B4414"/>
      <c r="P4414"/>
      <c r="R4414"/>
      <c r="S4414"/>
      <c r="T4414"/>
    </row>
    <row r="4415" spans="1:20" ht="17.25" customHeight="1">
      <c r="A4415"/>
      <c r="B4415"/>
      <c r="P4415"/>
      <c r="R4415"/>
      <c r="S4415"/>
      <c r="T4415"/>
    </row>
    <row r="4416" spans="1:20" ht="17.25" customHeight="1">
      <c r="A4416"/>
      <c r="B4416"/>
      <c r="P4416"/>
      <c r="R4416"/>
      <c r="S4416"/>
      <c r="T4416"/>
    </row>
    <row r="4417" spans="1:20" ht="17.25" customHeight="1">
      <c r="A4417"/>
      <c r="B4417"/>
      <c r="P4417"/>
      <c r="R4417"/>
      <c r="S4417"/>
      <c r="T4417"/>
    </row>
    <row r="4418" spans="1:20" ht="17.25" customHeight="1">
      <c r="A4418"/>
      <c r="B4418"/>
      <c r="P4418"/>
      <c r="R4418"/>
      <c r="S4418"/>
      <c r="T4418"/>
    </row>
    <row r="4419" spans="1:20" ht="17.25" customHeight="1">
      <c r="A4419"/>
      <c r="B4419"/>
      <c r="P4419"/>
      <c r="R4419"/>
      <c r="S4419"/>
      <c r="T4419"/>
    </row>
    <row r="4420" spans="1:20" ht="17.25" customHeight="1">
      <c r="A4420"/>
      <c r="B4420"/>
      <c r="P4420"/>
      <c r="R4420"/>
      <c r="S4420"/>
      <c r="T4420"/>
    </row>
    <row r="4421" spans="1:20" ht="17.25" customHeight="1">
      <c r="A4421"/>
      <c r="B4421"/>
      <c r="P4421"/>
      <c r="R4421"/>
      <c r="S4421"/>
      <c r="T4421"/>
    </row>
    <row r="4422" spans="1:20" ht="17.25" customHeight="1">
      <c r="A4422"/>
      <c r="B4422"/>
      <c r="P4422"/>
      <c r="R4422"/>
      <c r="S4422"/>
      <c r="T4422"/>
    </row>
    <row r="4423" spans="1:20" ht="17.25" customHeight="1">
      <c r="A4423"/>
      <c r="B4423"/>
      <c r="P4423"/>
      <c r="R4423"/>
      <c r="S4423"/>
      <c r="T4423"/>
    </row>
    <row r="4424" spans="1:20" ht="17.25" customHeight="1">
      <c r="A4424"/>
      <c r="B4424"/>
      <c r="P4424"/>
      <c r="R4424"/>
      <c r="S4424"/>
      <c r="T4424"/>
    </row>
    <row r="4425" spans="1:20" ht="17.25" customHeight="1">
      <c r="A4425"/>
      <c r="B4425"/>
      <c r="P4425"/>
      <c r="R4425"/>
      <c r="S4425"/>
      <c r="T4425"/>
    </row>
    <row r="4426" spans="1:20" ht="17.25" customHeight="1">
      <c r="A4426"/>
      <c r="B4426"/>
      <c r="P4426"/>
      <c r="R4426"/>
      <c r="S4426"/>
      <c r="T4426"/>
    </row>
    <row r="4427" spans="1:20" ht="17.25" customHeight="1">
      <c r="A4427"/>
      <c r="B4427"/>
      <c r="P4427"/>
      <c r="R4427"/>
      <c r="S4427"/>
      <c r="T4427"/>
    </row>
    <row r="4428" spans="1:20" ht="17.25" customHeight="1">
      <c r="A4428"/>
      <c r="B4428"/>
      <c r="P4428"/>
      <c r="R4428"/>
      <c r="S4428"/>
      <c r="T4428"/>
    </row>
    <row r="4429" spans="1:20" ht="17.25" customHeight="1">
      <c r="A4429"/>
      <c r="B4429"/>
      <c r="P4429"/>
      <c r="R4429"/>
      <c r="S4429"/>
      <c r="T4429"/>
    </row>
    <row r="4430" spans="1:20" ht="17.25" customHeight="1">
      <c r="A4430"/>
      <c r="B4430"/>
      <c r="P4430"/>
      <c r="R4430"/>
      <c r="S4430"/>
      <c r="T4430"/>
    </row>
    <row r="4431" spans="1:20" ht="17.25" customHeight="1">
      <c r="A4431"/>
      <c r="B4431"/>
      <c r="P4431"/>
      <c r="R4431"/>
      <c r="S4431"/>
      <c r="T4431"/>
    </row>
    <row r="4432" spans="1:20" ht="17.25" customHeight="1">
      <c r="A4432"/>
      <c r="B4432"/>
      <c r="P4432"/>
      <c r="R4432"/>
      <c r="S4432"/>
      <c r="T4432"/>
    </row>
    <row r="4433" spans="1:20" ht="17.25" customHeight="1">
      <c r="A4433"/>
      <c r="B4433"/>
      <c r="P4433"/>
      <c r="R4433"/>
      <c r="S4433"/>
      <c r="T4433"/>
    </row>
    <row r="4434" spans="1:20" ht="17.25" customHeight="1">
      <c r="A4434"/>
      <c r="B4434"/>
      <c r="P4434"/>
      <c r="R4434"/>
      <c r="S4434"/>
      <c r="T4434"/>
    </row>
    <row r="4435" spans="1:20" ht="17.25" customHeight="1">
      <c r="A4435"/>
      <c r="B4435"/>
      <c r="P4435"/>
      <c r="R4435"/>
      <c r="S4435"/>
      <c r="T4435"/>
    </row>
    <row r="4436" spans="1:20" ht="17.25" customHeight="1">
      <c r="A4436"/>
      <c r="B4436"/>
      <c r="P4436"/>
      <c r="R4436"/>
      <c r="S4436"/>
      <c r="T4436"/>
    </row>
    <row r="4437" spans="1:20" ht="17.25" customHeight="1">
      <c r="A4437"/>
      <c r="B4437"/>
      <c r="P4437"/>
      <c r="R4437"/>
      <c r="S4437"/>
      <c r="T4437"/>
    </row>
    <row r="4438" spans="1:20" ht="17.25" customHeight="1">
      <c r="A4438"/>
      <c r="B4438"/>
      <c r="P4438"/>
      <c r="R4438"/>
      <c r="S4438"/>
      <c r="T4438"/>
    </row>
    <row r="4439" spans="1:20" ht="17.25" customHeight="1">
      <c r="A4439"/>
      <c r="B4439"/>
      <c r="P4439"/>
      <c r="R4439"/>
      <c r="S4439"/>
      <c r="T4439"/>
    </row>
    <row r="4440" spans="1:20" ht="17.25" customHeight="1">
      <c r="A4440"/>
      <c r="B4440"/>
      <c r="P4440"/>
      <c r="R4440"/>
      <c r="S4440"/>
      <c r="T4440"/>
    </row>
    <row r="4441" spans="1:20" ht="17.25" customHeight="1">
      <c r="A4441"/>
      <c r="B4441"/>
      <c r="P4441"/>
      <c r="R4441"/>
      <c r="S4441"/>
      <c r="T4441"/>
    </row>
    <row r="4442" spans="1:20" ht="17.25" customHeight="1">
      <c r="A4442"/>
      <c r="B4442"/>
      <c r="P4442"/>
      <c r="R4442"/>
      <c r="S4442"/>
      <c r="T4442"/>
    </row>
    <row r="4443" spans="1:20" ht="17.25" customHeight="1">
      <c r="A4443"/>
      <c r="B4443"/>
      <c r="P4443"/>
      <c r="R4443"/>
      <c r="S4443"/>
      <c r="T4443"/>
    </row>
    <row r="4444" spans="1:20" ht="17.25" customHeight="1">
      <c r="A4444"/>
      <c r="B4444"/>
      <c r="P4444"/>
      <c r="R4444"/>
      <c r="S4444"/>
      <c r="T4444"/>
    </row>
    <row r="4445" spans="1:20" ht="17.25" customHeight="1">
      <c r="A4445"/>
      <c r="B4445"/>
      <c r="P4445"/>
      <c r="R4445"/>
      <c r="S4445"/>
      <c r="T4445"/>
    </row>
    <row r="4446" spans="1:20" ht="17.25" customHeight="1">
      <c r="A4446"/>
      <c r="B4446"/>
      <c r="P4446"/>
      <c r="R4446"/>
      <c r="S4446"/>
      <c r="T4446"/>
    </row>
    <row r="4447" spans="1:20" ht="17.25" customHeight="1">
      <c r="A4447"/>
      <c r="B4447"/>
      <c r="P4447"/>
      <c r="R4447"/>
      <c r="S4447"/>
      <c r="T4447"/>
    </row>
    <row r="4448" spans="1:20" ht="17.25" customHeight="1">
      <c r="A4448"/>
      <c r="B4448"/>
      <c r="P4448"/>
      <c r="R4448"/>
      <c r="S4448"/>
      <c r="T4448"/>
    </row>
    <row r="4449" spans="1:20" ht="17.25" customHeight="1">
      <c r="A4449"/>
      <c r="B4449"/>
      <c r="P4449"/>
      <c r="R4449"/>
      <c r="S4449"/>
      <c r="T4449"/>
    </row>
    <row r="4450" spans="1:20" ht="17.25" customHeight="1">
      <c r="A4450"/>
      <c r="B4450"/>
      <c r="P4450"/>
      <c r="R4450"/>
      <c r="S4450"/>
      <c r="T4450"/>
    </row>
    <row r="4451" spans="1:20" ht="17.25" customHeight="1">
      <c r="A4451"/>
      <c r="B4451"/>
      <c r="P4451"/>
      <c r="R4451"/>
      <c r="S4451"/>
      <c r="T4451"/>
    </row>
    <row r="4452" spans="1:20" ht="17.25" customHeight="1">
      <c r="A4452"/>
      <c r="B4452"/>
      <c r="P4452"/>
      <c r="R4452"/>
      <c r="S4452"/>
      <c r="T4452"/>
    </row>
    <row r="4453" spans="1:20" ht="17.25" customHeight="1">
      <c r="A4453"/>
      <c r="B4453"/>
      <c r="P4453"/>
      <c r="R4453"/>
      <c r="S4453"/>
      <c r="T4453"/>
    </row>
    <row r="4454" spans="1:20" ht="17.25" customHeight="1">
      <c r="A4454"/>
      <c r="B4454"/>
      <c r="P4454"/>
      <c r="R4454"/>
      <c r="S4454"/>
      <c r="T4454"/>
    </row>
    <row r="4455" spans="1:20" ht="17.25" customHeight="1">
      <c r="A4455"/>
      <c r="B4455"/>
      <c r="P4455"/>
      <c r="R4455"/>
      <c r="S4455"/>
      <c r="T4455"/>
    </row>
    <row r="4456" spans="1:20" ht="17.25" customHeight="1">
      <c r="A4456"/>
      <c r="B4456"/>
      <c r="P4456"/>
      <c r="R4456"/>
      <c r="S4456"/>
      <c r="T4456"/>
    </row>
    <row r="4457" spans="1:20" ht="17.25" customHeight="1">
      <c r="A4457"/>
      <c r="B4457"/>
      <c r="P4457"/>
      <c r="R4457"/>
      <c r="S4457"/>
      <c r="T4457"/>
    </row>
    <row r="4458" spans="1:20" ht="17.25" customHeight="1">
      <c r="A4458"/>
      <c r="B4458"/>
      <c r="P4458"/>
      <c r="R4458"/>
      <c r="S4458"/>
      <c r="T4458"/>
    </row>
    <row r="4459" spans="1:20" ht="17.25" customHeight="1">
      <c r="A4459"/>
      <c r="B4459"/>
      <c r="P4459"/>
      <c r="R4459"/>
      <c r="S4459"/>
      <c r="T4459"/>
    </row>
    <row r="4460" spans="1:20" ht="17.25" customHeight="1">
      <c r="A4460"/>
      <c r="B4460"/>
      <c r="P4460"/>
      <c r="R4460"/>
      <c r="S4460"/>
      <c r="T4460"/>
    </row>
    <row r="4461" spans="1:20" ht="17.25" customHeight="1">
      <c r="A4461"/>
      <c r="B4461"/>
      <c r="P4461"/>
      <c r="R4461"/>
      <c r="S4461"/>
      <c r="T4461"/>
    </row>
    <row r="4462" spans="1:20" ht="17.25" customHeight="1">
      <c r="A4462"/>
      <c r="B4462"/>
      <c r="P4462"/>
      <c r="R4462"/>
      <c r="S4462"/>
      <c r="T4462"/>
    </row>
    <row r="4463" spans="1:20" ht="17.25" customHeight="1">
      <c r="A4463"/>
      <c r="B4463"/>
      <c r="P4463"/>
      <c r="R4463"/>
      <c r="S4463"/>
      <c r="T4463"/>
    </row>
    <row r="4464" spans="1:20" ht="17.25" customHeight="1">
      <c r="A4464"/>
      <c r="B4464"/>
      <c r="P4464"/>
      <c r="R4464"/>
      <c r="S4464"/>
      <c r="T4464"/>
    </row>
    <row r="4465" spans="1:20" ht="17.25" customHeight="1">
      <c r="A4465"/>
      <c r="B4465"/>
      <c r="P4465"/>
      <c r="R4465"/>
      <c r="S4465"/>
      <c r="T4465"/>
    </row>
    <row r="4466" spans="1:20" ht="17.25" customHeight="1">
      <c r="A4466"/>
      <c r="B4466"/>
      <c r="P4466"/>
      <c r="R4466"/>
      <c r="S4466"/>
      <c r="T4466"/>
    </row>
    <row r="4467" spans="1:20" ht="17.25" customHeight="1">
      <c r="A4467"/>
      <c r="B4467"/>
      <c r="P4467"/>
      <c r="R4467"/>
      <c r="S4467"/>
      <c r="T4467"/>
    </row>
    <row r="4468" spans="1:20" ht="17.25" customHeight="1">
      <c r="A4468"/>
      <c r="B4468"/>
      <c r="P4468"/>
      <c r="R4468"/>
      <c r="S4468"/>
      <c r="T4468"/>
    </row>
    <row r="4469" spans="1:20" ht="17.25" customHeight="1">
      <c r="A4469"/>
      <c r="B4469"/>
      <c r="P4469"/>
      <c r="R4469"/>
      <c r="S4469"/>
      <c r="T4469"/>
    </row>
    <row r="4470" spans="1:20" ht="17.25" customHeight="1">
      <c r="A4470"/>
      <c r="B4470"/>
      <c r="P4470"/>
      <c r="R4470"/>
      <c r="S4470"/>
      <c r="T4470"/>
    </row>
    <row r="4471" spans="1:20" ht="17.25" customHeight="1">
      <c r="A4471"/>
      <c r="B4471"/>
      <c r="P4471"/>
      <c r="R4471"/>
      <c r="S4471"/>
      <c r="T4471"/>
    </row>
    <row r="4472" spans="1:20" ht="17.25" customHeight="1">
      <c r="A4472"/>
      <c r="B4472"/>
      <c r="P4472"/>
      <c r="R4472"/>
      <c r="S4472"/>
      <c r="T4472"/>
    </row>
    <row r="4473" spans="1:20" ht="17.25" customHeight="1">
      <c r="A4473"/>
      <c r="B4473"/>
      <c r="P4473"/>
      <c r="R4473"/>
      <c r="S4473"/>
      <c r="T4473"/>
    </row>
    <row r="4474" spans="1:20" ht="17.25" customHeight="1">
      <c r="A4474"/>
      <c r="B4474"/>
      <c r="P4474"/>
      <c r="R4474"/>
      <c r="S4474"/>
      <c r="T4474"/>
    </row>
    <row r="4475" spans="1:20" ht="17.25" customHeight="1">
      <c r="A4475"/>
      <c r="B4475"/>
      <c r="P4475"/>
      <c r="R4475"/>
      <c r="S4475"/>
      <c r="T4475"/>
    </row>
    <row r="4476" spans="1:20" ht="17.25" customHeight="1">
      <c r="A4476"/>
      <c r="B4476"/>
      <c r="P4476"/>
      <c r="R4476"/>
      <c r="S4476"/>
      <c r="T4476"/>
    </row>
    <row r="4477" spans="1:20" ht="17.25" customHeight="1">
      <c r="A4477"/>
      <c r="B4477"/>
      <c r="P4477"/>
      <c r="R4477"/>
      <c r="S4477"/>
      <c r="T4477"/>
    </row>
    <row r="4478" spans="1:20" ht="17.25" customHeight="1">
      <c r="A4478"/>
      <c r="B4478"/>
      <c r="P4478"/>
      <c r="R4478"/>
      <c r="S4478"/>
      <c r="T4478"/>
    </row>
    <row r="4479" spans="1:20" ht="17.25" customHeight="1">
      <c r="A4479"/>
      <c r="B4479"/>
      <c r="P4479"/>
      <c r="R4479"/>
      <c r="S4479"/>
      <c r="T4479"/>
    </row>
    <row r="4480" spans="1:20" ht="17.25" customHeight="1">
      <c r="A4480"/>
      <c r="B4480"/>
      <c r="P4480"/>
      <c r="R4480"/>
      <c r="S4480"/>
      <c r="T4480"/>
    </row>
    <row r="4481" spans="1:20" ht="17.25" customHeight="1">
      <c r="A4481"/>
      <c r="B4481"/>
      <c r="P4481"/>
      <c r="R4481"/>
      <c r="S4481"/>
      <c r="T4481"/>
    </row>
    <row r="4482" spans="1:20" ht="17.25" customHeight="1">
      <c r="A4482"/>
      <c r="B4482"/>
      <c r="P4482"/>
      <c r="R4482"/>
      <c r="S4482"/>
      <c r="T4482"/>
    </row>
    <row r="4483" spans="1:20" ht="17.25" customHeight="1">
      <c r="A4483"/>
      <c r="B4483"/>
      <c r="P4483"/>
      <c r="R4483"/>
      <c r="S4483"/>
      <c r="T4483"/>
    </row>
    <row r="4484" spans="1:20" ht="17.25" customHeight="1">
      <c r="A4484"/>
      <c r="B4484"/>
      <c r="P4484"/>
      <c r="R4484"/>
      <c r="S4484"/>
      <c r="T4484"/>
    </row>
    <row r="4485" spans="1:20" ht="17.25" customHeight="1">
      <c r="A4485"/>
      <c r="B4485"/>
      <c r="P4485"/>
      <c r="R4485"/>
      <c r="S4485"/>
      <c r="T4485"/>
    </row>
    <row r="4486" spans="1:20" ht="17.25" customHeight="1">
      <c r="A4486"/>
      <c r="B4486"/>
      <c r="P4486"/>
      <c r="R4486"/>
      <c r="S4486"/>
      <c r="T4486"/>
    </row>
    <row r="4487" spans="1:20" ht="17.25" customHeight="1">
      <c r="A4487"/>
      <c r="B4487"/>
      <c r="P4487"/>
      <c r="R4487"/>
      <c r="S4487"/>
      <c r="T4487"/>
    </row>
    <row r="4488" spans="1:20" ht="17.25" customHeight="1">
      <c r="A4488"/>
      <c r="B4488"/>
      <c r="P4488"/>
      <c r="R4488"/>
      <c r="S4488"/>
      <c r="T4488"/>
    </row>
    <row r="4489" spans="1:20" ht="17.25" customHeight="1">
      <c r="A4489"/>
      <c r="B4489"/>
      <c r="P4489"/>
      <c r="R4489"/>
      <c r="S4489"/>
      <c r="T4489"/>
    </row>
    <row r="4490" spans="1:20" ht="17.25" customHeight="1">
      <c r="A4490"/>
      <c r="B4490"/>
      <c r="P4490"/>
      <c r="R4490"/>
      <c r="S4490"/>
      <c r="T4490"/>
    </row>
    <row r="4491" spans="1:20" ht="17.25" customHeight="1">
      <c r="A4491"/>
      <c r="B4491"/>
      <c r="P4491"/>
      <c r="R4491"/>
      <c r="S4491"/>
      <c r="T4491"/>
    </row>
    <row r="4492" spans="1:20" ht="17.25" customHeight="1">
      <c r="A4492"/>
      <c r="B4492"/>
      <c r="P4492"/>
      <c r="R4492"/>
      <c r="S4492"/>
      <c r="T4492"/>
    </row>
    <row r="4493" spans="1:20" ht="17.25" customHeight="1">
      <c r="A4493"/>
      <c r="B4493"/>
      <c r="P4493"/>
      <c r="R4493"/>
      <c r="S4493"/>
      <c r="T4493"/>
    </row>
    <row r="4494" spans="1:20" ht="17.25" customHeight="1">
      <c r="A4494"/>
      <c r="B4494"/>
      <c r="P4494"/>
      <c r="R4494"/>
      <c r="S4494"/>
      <c r="T4494"/>
    </row>
    <row r="4495" spans="1:20" ht="17.25" customHeight="1">
      <c r="A4495"/>
      <c r="B4495"/>
      <c r="P4495"/>
      <c r="R4495"/>
      <c r="S4495"/>
      <c r="T4495"/>
    </row>
    <row r="4496" spans="1:20" ht="17.25" customHeight="1">
      <c r="A4496"/>
      <c r="B4496"/>
      <c r="P4496"/>
      <c r="R4496"/>
      <c r="S4496"/>
      <c r="T4496"/>
    </row>
    <row r="4497" spans="1:20" ht="17.25" customHeight="1">
      <c r="A4497"/>
      <c r="B4497"/>
      <c r="P4497"/>
      <c r="R4497"/>
      <c r="S4497"/>
      <c r="T4497"/>
    </row>
    <row r="4498" spans="1:20" ht="17.25" customHeight="1">
      <c r="A4498"/>
      <c r="B4498"/>
      <c r="P4498"/>
      <c r="R4498"/>
      <c r="S4498"/>
      <c r="T4498"/>
    </row>
    <row r="4499" spans="1:20" ht="17.25" customHeight="1">
      <c r="A4499"/>
      <c r="B4499"/>
      <c r="P4499"/>
      <c r="R4499"/>
      <c r="S4499"/>
      <c r="T4499"/>
    </row>
    <row r="4500" spans="1:20" ht="17.25" customHeight="1">
      <c r="A4500"/>
      <c r="B4500"/>
      <c r="P4500"/>
      <c r="R4500"/>
      <c r="S4500"/>
      <c r="T4500"/>
    </row>
    <row r="4501" spans="1:20" ht="17.25" customHeight="1">
      <c r="A4501"/>
      <c r="B4501"/>
      <c r="P4501"/>
      <c r="R4501"/>
      <c r="S4501"/>
      <c r="T4501"/>
    </row>
    <row r="4502" spans="1:20" ht="17.25" customHeight="1">
      <c r="A4502"/>
      <c r="B4502"/>
      <c r="P4502"/>
      <c r="R4502"/>
      <c r="S4502"/>
      <c r="T4502"/>
    </row>
    <row r="4503" spans="1:20" ht="17.25" customHeight="1">
      <c r="A4503"/>
      <c r="B4503"/>
      <c r="P4503"/>
      <c r="R4503"/>
      <c r="S4503"/>
      <c r="T4503"/>
    </row>
    <row r="4504" spans="1:20" ht="17.25" customHeight="1">
      <c r="A4504"/>
      <c r="B4504"/>
      <c r="P4504"/>
      <c r="R4504"/>
      <c r="S4504"/>
      <c r="T4504"/>
    </row>
    <row r="4505" spans="1:20" ht="17.25" customHeight="1">
      <c r="A4505"/>
      <c r="B4505"/>
      <c r="P4505"/>
      <c r="R4505"/>
      <c r="S4505"/>
      <c r="T4505"/>
    </row>
    <row r="4506" spans="1:20" ht="17.25" customHeight="1">
      <c r="A4506"/>
      <c r="B4506"/>
      <c r="P4506"/>
      <c r="R4506"/>
      <c r="S4506"/>
      <c r="T4506"/>
    </row>
    <row r="4507" spans="1:20" ht="17.25" customHeight="1">
      <c r="A4507"/>
      <c r="B4507"/>
      <c r="P4507"/>
      <c r="R4507"/>
      <c r="S4507"/>
      <c r="T4507"/>
    </row>
    <row r="4508" spans="1:20" ht="17.25" customHeight="1">
      <c r="A4508"/>
      <c r="B4508"/>
      <c r="P4508"/>
      <c r="R4508"/>
      <c r="S4508"/>
      <c r="T4508"/>
    </row>
    <row r="4509" spans="1:20" ht="17.25" customHeight="1">
      <c r="A4509"/>
      <c r="B4509"/>
      <c r="P4509"/>
      <c r="R4509"/>
      <c r="S4509"/>
      <c r="T4509"/>
    </row>
    <row r="4510" spans="1:20" ht="17.25" customHeight="1">
      <c r="A4510"/>
      <c r="B4510"/>
      <c r="P4510"/>
      <c r="R4510"/>
      <c r="S4510"/>
      <c r="T4510"/>
    </row>
    <row r="4511" spans="1:20" ht="17.25" customHeight="1">
      <c r="A4511"/>
      <c r="B4511"/>
      <c r="P4511"/>
      <c r="R4511"/>
      <c r="S4511"/>
      <c r="T4511"/>
    </row>
    <row r="4512" spans="1:20" ht="17.25" customHeight="1">
      <c r="A4512"/>
      <c r="B4512"/>
      <c r="P4512"/>
      <c r="R4512"/>
      <c r="S4512"/>
      <c r="T4512"/>
    </row>
    <row r="4513" spans="1:20" ht="17.25" customHeight="1">
      <c r="A4513"/>
      <c r="B4513"/>
      <c r="P4513"/>
      <c r="R4513"/>
      <c r="S4513"/>
      <c r="T4513"/>
    </row>
    <row r="4514" spans="1:20" ht="17.25" customHeight="1">
      <c r="A4514"/>
      <c r="B4514"/>
      <c r="P4514"/>
      <c r="R4514"/>
      <c r="S4514"/>
      <c r="T4514"/>
    </row>
    <row r="4515" spans="1:20" ht="17.25" customHeight="1">
      <c r="A4515"/>
      <c r="B4515"/>
      <c r="P4515"/>
      <c r="R4515"/>
      <c r="S4515"/>
      <c r="T4515"/>
    </row>
    <row r="4516" spans="1:20" ht="17.25" customHeight="1">
      <c r="A4516"/>
      <c r="B4516"/>
      <c r="P4516"/>
      <c r="R4516"/>
      <c r="S4516"/>
      <c r="T4516"/>
    </row>
    <row r="4517" spans="1:20" ht="17.25" customHeight="1">
      <c r="A4517"/>
      <c r="B4517"/>
      <c r="P4517"/>
      <c r="R4517"/>
      <c r="S4517"/>
      <c r="T4517"/>
    </row>
    <row r="4518" spans="1:20" ht="17.25" customHeight="1">
      <c r="A4518"/>
      <c r="B4518"/>
      <c r="P4518"/>
      <c r="R4518"/>
      <c r="S4518"/>
      <c r="T4518"/>
    </row>
    <row r="4519" spans="1:20" ht="17.25" customHeight="1">
      <c r="A4519"/>
      <c r="B4519"/>
      <c r="P4519"/>
      <c r="R4519"/>
      <c r="S4519"/>
      <c r="T4519"/>
    </row>
    <row r="4520" spans="1:20" ht="17.25" customHeight="1">
      <c r="A4520"/>
      <c r="B4520"/>
      <c r="P4520"/>
      <c r="R4520"/>
      <c r="S4520"/>
      <c r="T4520"/>
    </row>
    <row r="4521" spans="1:20" ht="17.25" customHeight="1">
      <c r="A4521"/>
      <c r="B4521"/>
      <c r="P4521"/>
      <c r="R4521"/>
      <c r="S4521"/>
      <c r="T4521"/>
    </row>
    <row r="4522" spans="1:20" ht="17.25" customHeight="1">
      <c r="A4522"/>
      <c r="B4522"/>
      <c r="P4522"/>
      <c r="R4522"/>
      <c r="S4522"/>
      <c r="T4522"/>
    </row>
    <row r="4523" spans="1:20" ht="17.25" customHeight="1">
      <c r="A4523"/>
      <c r="B4523"/>
      <c r="P4523"/>
      <c r="R4523"/>
      <c r="S4523"/>
      <c r="T4523"/>
    </row>
    <row r="4524" spans="1:20" ht="17.25" customHeight="1">
      <c r="A4524"/>
      <c r="B4524"/>
      <c r="P4524"/>
      <c r="R4524"/>
      <c r="S4524"/>
      <c r="T4524"/>
    </row>
    <row r="4525" spans="1:20" ht="17.25" customHeight="1">
      <c r="A4525"/>
      <c r="B4525"/>
      <c r="P4525"/>
      <c r="R4525"/>
      <c r="S4525"/>
      <c r="T4525"/>
    </row>
    <row r="4526" spans="1:20" ht="17.25" customHeight="1">
      <c r="A4526"/>
      <c r="B4526"/>
      <c r="P4526"/>
      <c r="R4526"/>
      <c r="S4526"/>
      <c r="T4526"/>
    </row>
    <row r="4527" spans="1:20" ht="17.25" customHeight="1">
      <c r="A4527"/>
      <c r="B4527"/>
      <c r="P4527"/>
      <c r="R4527"/>
      <c r="S4527"/>
      <c r="T4527"/>
    </row>
    <row r="4528" spans="1:20" ht="17.25" customHeight="1">
      <c r="A4528"/>
      <c r="B4528"/>
      <c r="P4528"/>
      <c r="R4528"/>
      <c r="S4528"/>
      <c r="T4528"/>
    </row>
    <row r="4529" spans="1:20" ht="17.25" customHeight="1">
      <c r="A4529"/>
      <c r="B4529"/>
      <c r="P4529"/>
      <c r="R4529"/>
      <c r="S4529"/>
      <c r="T4529"/>
    </row>
    <row r="4530" spans="1:20" ht="17.25" customHeight="1">
      <c r="A4530"/>
      <c r="B4530"/>
      <c r="P4530"/>
      <c r="R4530"/>
      <c r="S4530"/>
      <c r="T4530"/>
    </row>
    <row r="4531" spans="1:20" ht="17.25" customHeight="1">
      <c r="A4531"/>
      <c r="B4531"/>
      <c r="P4531"/>
      <c r="R4531"/>
      <c r="S4531"/>
      <c r="T4531"/>
    </row>
    <row r="4532" spans="1:20" ht="17.25" customHeight="1">
      <c r="A4532"/>
      <c r="B4532"/>
      <c r="P4532"/>
      <c r="R4532"/>
      <c r="S4532"/>
      <c r="T4532"/>
    </row>
    <row r="4533" spans="1:20" ht="17.25" customHeight="1">
      <c r="A4533"/>
      <c r="B4533"/>
      <c r="P4533"/>
      <c r="R4533"/>
      <c r="S4533"/>
      <c r="T4533"/>
    </row>
    <row r="4534" spans="1:20" ht="17.25" customHeight="1">
      <c r="A4534"/>
      <c r="B4534"/>
      <c r="P4534"/>
      <c r="R4534"/>
      <c r="S4534"/>
      <c r="T4534"/>
    </row>
    <row r="4535" spans="1:20" ht="17.25" customHeight="1">
      <c r="A4535"/>
      <c r="B4535"/>
      <c r="P4535"/>
      <c r="R4535"/>
      <c r="S4535"/>
      <c r="T4535"/>
    </row>
    <row r="4536" spans="1:20" ht="17.25" customHeight="1">
      <c r="A4536"/>
      <c r="B4536"/>
      <c r="P4536"/>
      <c r="R4536"/>
      <c r="S4536"/>
      <c r="T4536"/>
    </row>
    <row r="4537" spans="1:20" ht="17.25" customHeight="1">
      <c r="A4537"/>
      <c r="B4537"/>
      <c r="P4537"/>
      <c r="R4537"/>
      <c r="S4537"/>
      <c r="T4537"/>
    </row>
    <row r="4538" spans="1:20" ht="17.25" customHeight="1">
      <c r="A4538"/>
      <c r="B4538"/>
      <c r="P4538"/>
      <c r="R4538"/>
      <c r="S4538"/>
      <c r="T4538"/>
    </row>
    <row r="4539" spans="1:20" ht="17.25" customHeight="1">
      <c r="A4539"/>
      <c r="B4539"/>
      <c r="P4539"/>
      <c r="R4539"/>
      <c r="S4539"/>
      <c r="T4539"/>
    </row>
    <row r="4540" spans="1:20" ht="17.25" customHeight="1">
      <c r="A4540"/>
      <c r="B4540"/>
      <c r="P4540"/>
      <c r="R4540"/>
      <c r="S4540"/>
      <c r="T4540"/>
    </row>
    <row r="4541" spans="1:20" ht="17.25" customHeight="1">
      <c r="A4541"/>
      <c r="B4541"/>
      <c r="P4541"/>
      <c r="R4541"/>
      <c r="S4541"/>
      <c r="T4541"/>
    </row>
    <row r="4542" spans="1:20" ht="17.25" customHeight="1">
      <c r="A4542"/>
      <c r="B4542"/>
      <c r="P4542"/>
      <c r="R4542"/>
      <c r="S4542"/>
      <c r="T4542"/>
    </row>
    <row r="4543" spans="1:20" ht="17.25" customHeight="1">
      <c r="A4543"/>
      <c r="B4543"/>
      <c r="P4543"/>
      <c r="R4543"/>
      <c r="S4543"/>
      <c r="T4543"/>
    </row>
    <row r="4544" spans="1:20" ht="17.25" customHeight="1">
      <c r="A4544"/>
      <c r="B4544"/>
      <c r="P4544"/>
      <c r="R4544"/>
      <c r="S4544"/>
      <c r="T4544"/>
    </row>
    <row r="4545" spans="1:20" ht="17.25" customHeight="1">
      <c r="A4545"/>
      <c r="B4545"/>
      <c r="P4545"/>
      <c r="R4545"/>
      <c r="S4545"/>
      <c r="T4545"/>
    </row>
    <row r="4546" spans="1:20" ht="17.25" customHeight="1">
      <c r="A4546"/>
      <c r="B4546"/>
      <c r="P4546"/>
      <c r="R4546"/>
      <c r="S4546"/>
      <c r="T4546"/>
    </row>
    <row r="4547" spans="1:20" ht="17.25" customHeight="1">
      <c r="A4547"/>
      <c r="B4547"/>
      <c r="P4547"/>
      <c r="R4547"/>
      <c r="S4547"/>
      <c r="T4547"/>
    </row>
    <row r="4548" spans="1:20" ht="17.25" customHeight="1">
      <c r="A4548"/>
      <c r="B4548"/>
      <c r="P4548"/>
      <c r="R4548"/>
      <c r="S4548"/>
      <c r="T4548"/>
    </row>
    <row r="4549" spans="1:20" ht="17.25" customHeight="1">
      <c r="A4549"/>
      <c r="B4549"/>
      <c r="P4549"/>
      <c r="R4549"/>
      <c r="S4549"/>
      <c r="T4549"/>
    </row>
    <row r="4550" spans="1:20" ht="17.25" customHeight="1">
      <c r="A4550"/>
      <c r="B4550"/>
      <c r="P4550"/>
      <c r="R4550"/>
      <c r="S4550"/>
      <c r="T4550"/>
    </row>
    <row r="4551" spans="1:20" ht="17.25" customHeight="1">
      <c r="A4551"/>
      <c r="B4551"/>
      <c r="P4551"/>
      <c r="R4551"/>
      <c r="S4551"/>
      <c r="T4551"/>
    </row>
    <row r="4552" spans="1:20" ht="17.25" customHeight="1">
      <c r="A4552"/>
      <c r="B4552"/>
      <c r="P4552"/>
      <c r="R4552"/>
      <c r="S4552"/>
      <c r="T4552"/>
    </row>
    <row r="4553" spans="1:20" ht="17.25" customHeight="1">
      <c r="A4553"/>
      <c r="B4553"/>
      <c r="P4553"/>
      <c r="R4553"/>
      <c r="S4553"/>
      <c r="T4553"/>
    </row>
    <row r="4554" spans="1:20" ht="17.25" customHeight="1">
      <c r="A4554"/>
      <c r="B4554"/>
      <c r="P4554"/>
      <c r="R4554"/>
      <c r="S4554"/>
      <c r="T4554"/>
    </row>
    <row r="4555" spans="1:20" ht="17.25" customHeight="1">
      <c r="A4555"/>
      <c r="B4555"/>
      <c r="P4555"/>
      <c r="R4555"/>
      <c r="S4555"/>
      <c r="T4555"/>
    </row>
    <row r="4556" spans="1:20" ht="17.25" customHeight="1">
      <c r="A4556"/>
      <c r="B4556"/>
      <c r="P4556"/>
      <c r="R4556"/>
      <c r="S4556"/>
      <c r="T4556"/>
    </row>
    <row r="4557" spans="1:20" ht="17.25" customHeight="1">
      <c r="A4557"/>
      <c r="B4557"/>
      <c r="P4557"/>
      <c r="R4557"/>
      <c r="S4557"/>
      <c r="T4557"/>
    </row>
    <row r="4558" spans="1:20" ht="17.25" customHeight="1">
      <c r="A4558"/>
      <c r="B4558"/>
      <c r="P4558"/>
      <c r="R4558"/>
      <c r="S4558"/>
      <c r="T4558"/>
    </row>
    <row r="4559" spans="1:20" ht="17.25" customHeight="1">
      <c r="A4559"/>
      <c r="B4559"/>
      <c r="P4559"/>
      <c r="R4559"/>
      <c r="S4559"/>
      <c r="T4559"/>
    </row>
    <row r="4560" spans="1:20" ht="17.25" customHeight="1">
      <c r="A4560"/>
      <c r="B4560"/>
      <c r="P4560"/>
      <c r="R4560"/>
      <c r="S4560"/>
      <c r="T4560"/>
    </row>
    <row r="4561" spans="1:20" ht="17.25" customHeight="1">
      <c r="A4561"/>
      <c r="B4561"/>
      <c r="P4561"/>
      <c r="R4561"/>
      <c r="S4561"/>
      <c r="T4561"/>
    </row>
    <row r="4562" spans="1:20" ht="17.25" customHeight="1">
      <c r="A4562"/>
      <c r="B4562"/>
      <c r="P4562"/>
      <c r="R4562"/>
      <c r="S4562"/>
      <c r="T4562"/>
    </row>
    <row r="4563" spans="1:20" ht="17.25" customHeight="1">
      <c r="A4563"/>
      <c r="B4563"/>
      <c r="P4563"/>
      <c r="R4563"/>
      <c r="S4563"/>
      <c r="T4563"/>
    </row>
    <row r="4564" spans="1:20" ht="17.25" customHeight="1">
      <c r="A4564"/>
      <c r="B4564"/>
      <c r="P4564"/>
      <c r="R4564"/>
      <c r="S4564"/>
      <c r="T4564"/>
    </row>
    <row r="4565" spans="1:20" ht="17.25" customHeight="1">
      <c r="A4565"/>
      <c r="B4565"/>
      <c r="P4565"/>
      <c r="R4565"/>
      <c r="S4565"/>
      <c r="T4565"/>
    </row>
    <row r="4566" spans="1:20" ht="17.25" customHeight="1">
      <c r="A4566"/>
      <c r="B4566"/>
      <c r="P4566"/>
      <c r="R4566"/>
      <c r="S4566"/>
      <c r="T4566"/>
    </row>
    <row r="4567" spans="1:20" ht="17.25" customHeight="1">
      <c r="A4567"/>
      <c r="B4567"/>
      <c r="P4567"/>
      <c r="R4567"/>
      <c r="S4567"/>
      <c r="T4567"/>
    </row>
    <row r="4568" spans="1:20" ht="17.25" customHeight="1">
      <c r="A4568"/>
      <c r="B4568"/>
      <c r="P4568"/>
      <c r="R4568"/>
      <c r="S4568"/>
      <c r="T4568"/>
    </row>
    <row r="4569" spans="1:20" ht="17.25" customHeight="1">
      <c r="A4569"/>
      <c r="B4569"/>
      <c r="P4569"/>
      <c r="R4569"/>
      <c r="S4569"/>
      <c r="T4569"/>
    </row>
    <row r="4570" spans="1:20" ht="17.25" customHeight="1">
      <c r="A4570"/>
      <c r="B4570"/>
      <c r="P4570"/>
      <c r="R4570"/>
      <c r="S4570"/>
      <c r="T4570"/>
    </row>
    <row r="4571" spans="1:20" ht="17.25" customHeight="1">
      <c r="A4571"/>
      <c r="B4571"/>
      <c r="P4571"/>
      <c r="R4571"/>
      <c r="S4571"/>
      <c r="T4571"/>
    </row>
    <row r="4572" spans="1:20" ht="17.25" customHeight="1">
      <c r="A4572"/>
      <c r="B4572"/>
      <c r="P4572"/>
      <c r="R4572"/>
      <c r="S4572"/>
      <c r="T4572"/>
    </row>
    <row r="4573" spans="1:20" ht="17.25" customHeight="1">
      <c r="A4573"/>
      <c r="B4573"/>
      <c r="P4573"/>
      <c r="R4573"/>
      <c r="S4573"/>
      <c r="T4573"/>
    </row>
    <row r="4574" spans="1:20" ht="17.25" customHeight="1">
      <c r="A4574"/>
      <c r="B4574"/>
      <c r="P4574"/>
      <c r="R4574"/>
      <c r="S4574"/>
      <c r="T4574"/>
    </row>
    <row r="4575" spans="1:20" ht="17.25" customHeight="1">
      <c r="A4575"/>
      <c r="B4575"/>
      <c r="P4575"/>
      <c r="R4575"/>
      <c r="S4575"/>
      <c r="T4575"/>
    </row>
    <row r="4576" spans="1:20" ht="17.25" customHeight="1">
      <c r="A4576"/>
      <c r="B4576"/>
      <c r="P4576"/>
      <c r="R4576"/>
      <c r="S4576"/>
      <c r="T4576"/>
    </row>
    <row r="4577" spans="1:20" ht="17.25" customHeight="1">
      <c r="A4577"/>
      <c r="B4577"/>
      <c r="P4577"/>
      <c r="R4577"/>
      <c r="S4577"/>
      <c r="T4577"/>
    </row>
    <row r="4578" spans="1:20" ht="17.25" customHeight="1">
      <c r="A4578"/>
      <c r="B4578"/>
      <c r="P4578"/>
      <c r="R4578"/>
      <c r="S4578"/>
      <c r="T4578"/>
    </row>
    <row r="4579" spans="1:20" ht="17.25" customHeight="1">
      <c r="A4579"/>
      <c r="B4579"/>
      <c r="P4579"/>
      <c r="R4579"/>
      <c r="S4579"/>
      <c r="T4579"/>
    </row>
    <row r="4580" spans="1:20" ht="17.25" customHeight="1">
      <c r="A4580"/>
      <c r="B4580"/>
      <c r="P4580"/>
      <c r="R4580"/>
      <c r="S4580"/>
      <c r="T4580"/>
    </row>
    <row r="4581" spans="1:20" ht="17.25" customHeight="1">
      <c r="A4581"/>
      <c r="B4581"/>
      <c r="P4581"/>
      <c r="R4581"/>
      <c r="S4581"/>
      <c r="T4581"/>
    </row>
    <row r="4582" spans="1:20" ht="17.25" customHeight="1">
      <c r="A4582"/>
      <c r="B4582"/>
      <c r="P4582"/>
      <c r="R4582"/>
      <c r="S4582"/>
      <c r="T4582"/>
    </row>
    <row r="4583" spans="1:20" ht="17.25" customHeight="1">
      <c r="A4583"/>
      <c r="B4583"/>
      <c r="P4583"/>
      <c r="R4583"/>
      <c r="S4583"/>
      <c r="T4583"/>
    </row>
    <row r="4584" spans="1:20" ht="17.25" customHeight="1">
      <c r="A4584"/>
      <c r="B4584"/>
      <c r="P4584"/>
      <c r="R4584"/>
      <c r="S4584"/>
      <c r="T4584"/>
    </row>
    <row r="4585" spans="1:20" ht="17.25" customHeight="1">
      <c r="A4585"/>
      <c r="B4585"/>
      <c r="P4585"/>
      <c r="R4585"/>
      <c r="S4585"/>
      <c r="T4585"/>
    </row>
    <row r="4586" spans="1:20" ht="17.25" customHeight="1">
      <c r="A4586"/>
      <c r="B4586"/>
      <c r="P4586"/>
      <c r="R4586"/>
      <c r="S4586"/>
      <c r="T4586"/>
    </row>
    <row r="4587" spans="1:20" ht="17.25" customHeight="1">
      <c r="A4587"/>
      <c r="B4587"/>
      <c r="P4587"/>
      <c r="R4587"/>
      <c r="S4587"/>
      <c r="T4587"/>
    </row>
    <row r="4588" spans="1:20" ht="17.25" customHeight="1">
      <c r="A4588"/>
      <c r="B4588"/>
      <c r="P4588"/>
      <c r="R4588"/>
      <c r="S4588"/>
      <c r="T4588"/>
    </row>
    <row r="4589" spans="1:20" ht="17.25" customHeight="1">
      <c r="A4589"/>
      <c r="B4589"/>
      <c r="P4589"/>
      <c r="R4589"/>
      <c r="S4589"/>
      <c r="T4589"/>
    </row>
    <row r="4590" spans="1:20" ht="17.25" customHeight="1">
      <c r="A4590"/>
      <c r="B4590"/>
      <c r="P4590"/>
      <c r="R4590"/>
      <c r="S4590"/>
      <c r="T4590"/>
    </row>
    <row r="4591" spans="1:20" ht="17.25" customHeight="1">
      <c r="A4591"/>
      <c r="B4591"/>
      <c r="P4591"/>
      <c r="R4591"/>
      <c r="S4591"/>
      <c r="T4591"/>
    </row>
    <row r="4592" spans="1:20" ht="17.25" customHeight="1">
      <c r="A4592"/>
      <c r="B4592"/>
      <c r="P4592"/>
      <c r="R4592"/>
      <c r="S4592"/>
      <c r="T4592"/>
    </row>
    <row r="4593" spans="1:20" ht="17.25" customHeight="1">
      <c r="A4593"/>
      <c r="B4593"/>
      <c r="P4593"/>
      <c r="R4593"/>
      <c r="S4593"/>
      <c r="T4593"/>
    </row>
    <row r="4594" spans="1:20" ht="17.25" customHeight="1">
      <c r="A4594"/>
      <c r="B4594"/>
      <c r="P4594"/>
      <c r="R4594"/>
      <c r="S4594"/>
      <c r="T4594"/>
    </row>
    <row r="4595" spans="1:20" ht="17.25" customHeight="1">
      <c r="A4595"/>
      <c r="B4595"/>
      <c r="P4595"/>
      <c r="R4595"/>
      <c r="S4595"/>
      <c r="T4595"/>
    </row>
    <row r="4596" spans="1:20" ht="17.25" customHeight="1">
      <c r="A4596"/>
      <c r="B4596"/>
      <c r="P4596"/>
      <c r="R4596"/>
      <c r="S4596"/>
      <c r="T4596"/>
    </row>
    <row r="4597" spans="1:20" ht="17.25" customHeight="1">
      <c r="A4597"/>
      <c r="B4597"/>
      <c r="P4597"/>
      <c r="R4597"/>
      <c r="S4597"/>
      <c r="T4597"/>
    </row>
    <row r="4598" spans="1:20" ht="17.25" customHeight="1">
      <c r="A4598"/>
      <c r="B4598"/>
      <c r="P4598"/>
      <c r="R4598"/>
      <c r="S4598"/>
      <c r="T4598"/>
    </row>
    <row r="4599" spans="1:20" ht="17.25" customHeight="1">
      <c r="A4599"/>
      <c r="B4599"/>
      <c r="P4599"/>
      <c r="R4599"/>
      <c r="S4599"/>
      <c r="T4599"/>
    </row>
    <row r="4600" spans="1:20" ht="17.25" customHeight="1">
      <c r="A4600"/>
      <c r="B4600"/>
      <c r="P4600"/>
      <c r="R4600"/>
      <c r="S4600"/>
      <c r="T4600"/>
    </row>
    <row r="4601" spans="1:20" ht="17.25" customHeight="1">
      <c r="A4601"/>
      <c r="B4601"/>
      <c r="P4601"/>
      <c r="R4601"/>
      <c r="S4601"/>
      <c r="T4601"/>
    </row>
    <row r="4602" spans="1:20" ht="17.25" customHeight="1">
      <c r="A4602"/>
      <c r="B4602"/>
      <c r="P4602"/>
      <c r="R4602"/>
      <c r="S4602"/>
      <c r="T4602"/>
    </row>
    <row r="4603" spans="1:20" ht="17.25" customHeight="1">
      <c r="A4603"/>
      <c r="B4603"/>
      <c r="P4603"/>
      <c r="R4603"/>
      <c r="S4603"/>
      <c r="T4603"/>
    </row>
    <row r="4604" spans="1:20" ht="17.25" customHeight="1">
      <c r="A4604"/>
      <c r="B4604"/>
      <c r="P4604"/>
      <c r="R4604"/>
      <c r="S4604"/>
      <c r="T4604"/>
    </row>
    <row r="4605" spans="1:20" ht="17.25" customHeight="1">
      <c r="A4605"/>
      <c r="B4605"/>
      <c r="P4605"/>
      <c r="R4605"/>
      <c r="S4605"/>
      <c r="T4605"/>
    </row>
    <row r="4606" spans="1:20" ht="17.25" customHeight="1">
      <c r="A4606"/>
      <c r="B4606"/>
      <c r="P4606"/>
      <c r="R4606"/>
      <c r="S4606"/>
      <c r="T4606"/>
    </row>
    <row r="4607" spans="1:20" ht="17.25" customHeight="1">
      <c r="A4607"/>
      <c r="B4607"/>
      <c r="P4607"/>
      <c r="R4607"/>
      <c r="S4607"/>
      <c r="T4607"/>
    </row>
    <row r="4608" spans="1:20" ht="17.25" customHeight="1">
      <c r="A4608"/>
      <c r="B4608"/>
      <c r="P4608"/>
      <c r="R4608"/>
      <c r="S4608"/>
      <c r="T4608"/>
    </row>
    <row r="4609" spans="1:20" ht="17.25" customHeight="1">
      <c r="A4609"/>
      <c r="B4609"/>
      <c r="P4609"/>
      <c r="R4609"/>
      <c r="S4609"/>
      <c r="T4609"/>
    </row>
    <row r="4610" spans="1:20" ht="17.25" customHeight="1">
      <c r="A4610"/>
      <c r="B4610"/>
      <c r="P4610"/>
      <c r="R4610"/>
      <c r="S4610"/>
      <c r="T4610"/>
    </row>
    <row r="4611" spans="1:20" ht="17.25" customHeight="1">
      <c r="A4611"/>
      <c r="B4611"/>
      <c r="P4611"/>
      <c r="R4611"/>
      <c r="S4611"/>
      <c r="T4611"/>
    </row>
    <row r="4612" spans="1:20" ht="17.25" customHeight="1">
      <c r="A4612"/>
      <c r="B4612"/>
      <c r="P4612"/>
      <c r="R4612"/>
      <c r="S4612"/>
      <c r="T4612"/>
    </row>
    <row r="4613" spans="1:20" ht="17.25" customHeight="1">
      <c r="A4613"/>
      <c r="B4613"/>
      <c r="P4613"/>
      <c r="R4613"/>
      <c r="S4613"/>
      <c r="T4613"/>
    </row>
    <row r="4614" spans="1:20" ht="17.25" customHeight="1">
      <c r="A4614"/>
      <c r="B4614"/>
      <c r="P4614"/>
      <c r="R4614"/>
      <c r="S4614"/>
      <c r="T4614"/>
    </row>
    <row r="4615" spans="1:20" ht="17.25" customHeight="1">
      <c r="A4615"/>
      <c r="B4615"/>
      <c r="P4615"/>
      <c r="R4615"/>
      <c r="S4615"/>
      <c r="T4615"/>
    </row>
    <row r="4616" spans="1:20" ht="17.25" customHeight="1">
      <c r="A4616"/>
      <c r="B4616"/>
      <c r="P4616"/>
      <c r="R4616"/>
      <c r="S4616"/>
      <c r="T4616"/>
    </row>
    <row r="4617" spans="1:20" ht="17.25" customHeight="1">
      <c r="A4617"/>
      <c r="B4617"/>
      <c r="P4617"/>
      <c r="R4617"/>
      <c r="S4617"/>
      <c r="T4617"/>
    </row>
    <row r="4618" spans="1:20" ht="17.25" customHeight="1">
      <c r="A4618"/>
      <c r="B4618"/>
      <c r="P4618"/>
      <c r="R4618"/>
      <c r="S4618"/>
      <c r="T4618"/>
    </row>
    <row r="4619" spans="1:20" ht="17.25" customHeight="1">
      <c r="A4619"/>
      <c r="B4619"/>
      <c r="P4619"/>
      <c r="R4619"/>
      <c r="S4619"/>
      <c r="T4619"/>
    </row>
    <row r="4620" spans="1:20" ht="17.25" customHeight="1">
      <c r="A4620"/>
      <c r="B4620"/>
      <c r="P4620"/>
      <c r="R4620"/>
      <c r="S4620"/>
      <c r="T4620"/>
    </row>
    <row r="4621" spans="1:20" ht="17.25" customHeight="1">
      <c r="A4621"/>
      <c r="B4621"/>
      <c r="P4621"/>
      <c r="R4621"/>
      <c r="S4621"/>
      <c r="T4621"/>
    </row>
    <row r="4622" spans="1:20" ht="17.25" customHeight="1">
      <c r="A4622"/>
      <c r="B4622"/>
      <c r="P4622"/>
      <c r="R4622"/>
      <c r="S4622"/>
      <c r="T4622"/>
    </row>
    <row r="4623" spans="1:20" ht="17.25" customHeight="1">
      <c r="A4623"/>
      <c r="B4623"/>
      <c r="P4623"/>
      <c r="R4623"/>
      <c r="S4623"/>
      <c r="T4623"/>
    </row>
    <row r="4624" spans="1:20" ht="17.25" customHeight="1">
      <c r="A4624"/>
      <c r="B4624"/>
      <c r="P4624"/>
      <c r="R4624"/>
      <c r="S4624"/>
      <c r="T4624"/>
    </row>
    <row r="4625" spans="1:20" ht="17.25" customHeight="1">
      <c r="A4625"/>
      <c r="B4625"/>
      <c r="P4625"/>
      <c r="R4625"/>
      <c r="S4625"/>
      <c r="T4625"/>
    </row>
    <row r="4626" spans="1:20" ht="17.25" customHeight="1">
      <c r="A4626"/>
      <c r="B4626"/>
      <c r="P4626"/>
      <c r="R4626"/>
      <c r="S4626"/>
      <c r="T4626"/>
    </row>
    <row r="4627" spans="1:20" ht="17.25" customHeight="1">
      <c r="A4627"/>
      <c r="B4627"/>
      <c r="P4627"/>
      <c r="R4627"/>
      <c r="S4627"/>
      <c r="T4627"/>
    </row>
    <row r="4628" spans="1:20" ht="17.25" customHeight="1">
      <c r="A4628"/>
      <c r="B4628"/>
      <c r="P4628"/>
      <c r="R4628"/>
      <c r="S4628"/>
      <c r="T4628"/>
    </row>
    <row r="4629" spans="1:20" ht="17.25" customHeight="1">
      <c r="A4629"/>
      <c r="B4629"/>
      <c r="P4629"/>
      <c r="R4629"/>
      <c r="S4629"/>
      <c r="T4629"/>
    </row>
    <row r="4630" spans="1:20" ht="17.25" customHeight="1">
      <c r="A4630"/>
      <c r="B4630"/>
      <c r="P4630"/>
      <c r="R4630"/>
      <c r="S4630"/>
      <c r="T4630"/>
    </row>
    <row r="4631" spans="1:20" ht="17.25" customHeight="1">
      <c r="A4631"/>
      <c r="B4631"/>
      <c r="P4631"/>
      <c r="R4631"/>
      <c r="S4631"/>
      <c r="T4631"/>
    </row>
    <row r="4632" spans="1:20" ht="17.25" customHeight="1">
      <c r="A4632"/>
      <c r="B4632"/>
      <c r="P4632"/>
      <c r="R4632"/>
      <c r="S4632"/>
      <c r="T4632"/>
    </row>
    <row r="4633" spans="1:20" ht="17.25" customHeight="1">
      <c r="A4633"/>
      <c r="B4633"/>
      <c r="P4633"/>
      <c r="R4633"/>
      <c r="S4633"/>
      <c r="T4633"/>
    </row>
    <row r="4634" spans="1:20" ht="17.25" customHeight="1">
      <c r="A4634"/>
      <c r="B4634"/>
      <c r="P4634"/>
      <c r="R4634"/>
      <c r="S4634"/>
      <c r="T4634"/>
    </row>
    <row r="4635" spans="1:20" ht="17.25" customHeight="1">
      <c r="A4635"/>
      <c r="B4635"/>
      <c r="P4635"/>
      <c r="R4635"/>
      <c r="S4635"/>
      <c r="T4635"/>
    </row>
    <row r="4636" spans="1:20" ht="17.25" customHeight="1">
      <c r="A4636"/>
      <c r="B4636"/>
      <c r="P4636"/>
      <c r="R4636"/>
      <c r="S4636"/>
      <c r="T4636"/>
    </row>
    <row r="4637" spans="1:20" ht="17.25" customHeight="1">
      <c r="A4637"/>
      <c r="B4637"/>
      <c r="P4637"/>
      <c r="R4637"/>
      <c r="S4637"/>
      <c r="T4637"/>
    </row>
    <row r="4638" spans="1:20" ht="17.25" customHeight="1">
      <c r="A4638"/>
      <c r="B4638"/>
      <c r="P4638"/>
      <c r="R4638"/>
      <c r="S4638"/>
      <c r="T4638"/>
    </row>
    <row r="4639" spans="1:20" ht="17.25" customHeight="1">
      <c r="A4639"/>
      <c r="B4639"/>
      <c r="P4639"/>
      <c r="R4639"/>
      <c r="S4639"/>
      <c r="T4639"/>
    </row>
    <row r="4640" spans="1:20" ht="17.25" customHeight="1">
      <c r="A4640"/>
      <c r="B4640"/>
      <c r="P4640"/>
      <c r="R4640"/>
      <c r="S4640"/>
      <c r="T4640"/>
    </row>
    <row r="4641" spans="1:20" ht="17.25" customHeight="1">
      <c r="A4641"/>
      <c r="B4641"/>
      <c r="P4641"/>
      <c r="R4641"/>
      <c r="S4641"/>
      <c r="T4641"/>
    </row>
    <row r="4642" spans="1:20" ht="17.25" customHeight="1">
      <c r="A4642"/>
      <c r="B4642"/>
      <c r="P4642"/>
      <c r="R4642"/>
      <c r="S4642"/>
      <c r="T4642"/>
    </row>
    <row r="4643" spans="1:20" ht="17.25" customHeight="1">
      <c r="A4643"/>
      <c r="B4643"/>
      <c r="P4643"/>
      <c r="R4643"/>
      <c r="S4643"/>
      <c r="T4643"/>
    </row>
    <row r="4644" spans="1:20" ht="17.25" customHeight="1">
      <c r="A4644"/>
      <c r="B4644"/>
      <c r="P4644"/>
      <c r="R4644"/>
      <c r="S4644"/>
      <c r="T4644"/>
    </row>
    <row r="4645" spans="1:20" ht="17.25" customHeight="1">
      <c r="A4645"/>
      <c r="B4645"/>
      <c r="P4645"/>
      <c r="R4645"/>
      <c r="S4645"/>
      <c r="T4645"/>
    </row>
    <row r="4646" spans="1:20" ht="17.25" customHeight="1">
      <c r="A4646"/>
      <c r="B4646"/>
      <c r="P4646"/>
      <c r="R4646"/>
      <c r="S4646"/>
      <c r="T4646"/>
    </row>
    <row r="4647" spans="1:20" ht="17.25" customHeight="1">
      <c r="A4647"/>
      <c r="B4647"/>
      <c r="P4647"/>
      <c r="R4647"/>
      <c r="S4647"/>
      <c r="T4647"/>
    </row>
    <row r="4648" spans="1:20" ht="17.25" customHeight="1">
      <c r="A4648"/>
      <c r="B4648"/>
      <c r="P4648"/>
      <c r="R4648"/>
      <c r="S4648"/>
      <c r="T4648"/>
    </row>
    <row r="4649" spans="1:20" ht="17.25" customHeight="1">
      <c r="A4649"/>
      <c r="B4649"/>
      <c r="P4649"/>
      <c r="R4649"/>
      <c r="S4649"/>
      <c r="T4649"/>
    </row>
    <row r="4650" spans="1:20" ht="17.25" customHeight="1">
      <c r="A4650"/>
      <c r="B4650"/>
      <c r="P4650"/>
      <c r="R4650"/>
      <c r="S4650"/>
      <c r="T4650"/>
    </row>
    <row r="4651" spans="1:20" ht="17.25" customHeight="1">
      <c r="A4651"/>
      <c r="B4651"/>
      <c r="P4651"/>
      <c r="R4651"/>
      <c r="S4651"/>
      <c r="T4651"/>
    </row>
    <row r="4652" spans="1:20" ht="17.25" customHeight="1">
      <c r="A4652"/>
      <c r="B4652"/>
      <c r="P4652"/>
      <c r="R4652"/>
      <c r="S4652"/>
      <c r="T4652"/>
    </row>
    <row r="4653" spans="1:20" ht="17.25" customHeight="1">
      <c r="A4653"/>
      <c r="B4653"/>
      <c r="P4653"/>
      <c r="R4653"/>
      <c r="S4653"/>
      <c r="T4653"/>
    </row>
    <row r="4654" spans="1:20" ht="17.25" customHeight="1">
      <c r="A4654"/>
      <c r="B4654"/>
      <c r="P4654"/>
      <c r="R4654"/>
      <c r="S4654"/>
      <c r="T4654"/>
    </row>
    <row r="4655" spans="1:20" ht="17.25" customHeight="1">
      <c r="A4655"/>
      <c r="B4655"/>
      <c r="P4655"/>
      <c r="R4655"/>
      <c r="S4655"/>
      <c r="T4655"/>
    </row>
    <row r="4656" spans="1:20" ht="17.25" customHeight="1">
      <c r="A4656"/>
      <c r="B4656"/>
      <c r="P4656"/>
      <c r="R4656"/>
      <c r="S4656"/>
      <c r="T4656"/>
    </row>
    <row r="4657" spans="1:20" ht="17.25" customHeight="1">
      <c r="A4657"/>
      <c r="B4657"/>
      <c r="P4657"/>
      <c r="R4657"/>
      <c r="S4657"/>
      <c r="T4657"/>
    </row>
    <row r="4658" spans="1:20" ht="17.25" customHeight="1">
      <c r="A4658"/>
      <c r="B4658"/>
      <c r="P4658"/>
      <c r="R4658"/>
      <c r="S4658"/>
      <c r="T4658"/>
    </row>
    <row r="4659" spans="1:20" ht="17.25" customHeight="1">
      <c r="A4659"/>
      <c r="B4659"/>
      <c r="P4659"/>
      <c r="R4659"/>
      <c r="S4659"/>
      <c r="T4659"/>
    </row>
    <row r="4660" spans="1:20" ht="17.25" customHeight="1">
      <c r="A4660"/>
      <c r="B4660"/>
      <c r="P4660"/>
      <c r="R4660"/>
      <c r="S4660"/>
      <c r="T4660"/>
    </row>
    <row r="4661" spans="1:20" ht="17.25" customHeight="1">
      <c r="A4661"/>
      <c r="B4661"/>
      <c r="P4661"/>
      <c r="R4661"/>
      <c r="S4661"/>
      <c r="T4661"/>
    </row>
    <row r="4662" spans="1:20" ht="17.25" customHeight="1">
      <c r="A4662"/>
      <c r="B4662"/>
      <c r="P4662"/>
      <c r="R4662"/>
      <c r="S4662"/>
      <c r="T4662"/>
    </row>
    <row r="4663" spans="1:20" ht="17.25" customHeight="1">
      <c r="A4663"/>
      <c r="B4663"/>
      <c r="P4663"/>
      <c r="R4663"/>
      <c r="S4663"/>
      <c r="T4663"/>
    </row>
    <row r="4664" spans="1:20" ht="17.25" customHeight="1">
      <c r="A4664"/>
      <c r="B4664"/>
      <c r="P4664"/>
      <c r="R4664"/>
      <c r="S4664"/>
      <c r="T4664"/>
    </row>
    <row r="4665" spans="1:20" ht="17.25" customHeight="1">
      <c r="A4665"/>
      <c r="B4665"/>
      <c r="P4665"/>
      <c r="R4665"/>
      <c r="S4665"/>
      <c r="T4665"/>
    </row>
    <row r="4666" spans="1:20" ht="17.25" customHeight="1">
      <c r="A4666"/>
      <c r="B4666"/>
      <c r="P4666"/>
      <c r="R4666"/>
      <c r="S4666"/>
      <c r="T4666"/>
    </row>
    <row r="4667" spans="1:20" ht="17.25" customHeight="1">
      <c r="A4667"/>
      <c r="B4667"/>
      <c r="P4667"/>
      <c r="R4667"/>
      <c r="S4667"/>
      <c r="T4667"/>
    </row>
    <row r="4668" spans="1:20" ht="17.25" customHeight="1">
      <c r="A4668"/>
      <c r="B4668"/>
      <c r="P4668"/>
      <c r="R4668"/>
      <c r="S4668"/>
      <c r="T4668"/>
    </row>
    <row r="4669" spans="1:20" ht="17.25" customHeight="1">
      <c r="A4669"/>
      <c r="B4669"/>
      <c r="P4669"/>
      <c r="R4669"/>
      <c r="S4669"/>
      <c r="T4669"/>
    </row>
    <row r="4670" spans="1:20" ht="17.25" customHeight="1">
      <c r="A4670"/>
      <c r="B4670"/>
      <c r="P4670"/>
      <c r="R4670"/>
      <c r="S4670"/>
      <c r="T4670"/>
    </row>
    <row r="4671" spans="1:20" ht="17.25" customHeight="1">
      <c r="A4671"/>
      <c r="B4671"/>
      <c r="P4671"/>
      <c r="R4671"/>
      <c r="S4671"/>
      <c r="T4671"/>
    </row>
    <row r="4672" spans="1:20" ht="17.25" customHeight="1">
      <c r="A4672"/>
      <c r="B4672"/>
      <c r="P4672"/>
      <c r="R4672"/>
      <c r="S4672"/>
      <c r="T4672"/>
    </row>
    <row r="4673" spans="1:20" ht="17.25" customHeight="1">
      <c r="A4673"/>
      <c r="B4673"/>
      <c r="P4673"/>
      <c r="R4673"/>
      <c r="S4673"/>
      <c r="T4673"/>
    </row>
    <row r="4674" spans="1:20" ht="17.25" customHeight="1">
      <c r="A4674"/>
      <c r="B4674"/>
      <c r="P4674"/>
      <c r="R4674"/>
      <c r="S4674"/>
      <c r="T4674"/>
    </row>
    <row r="4675" spans="1:20" ht="17.25" customHeight="1">
      <c r="A4675"/>
      <c r="B4675"/>
      <c r="P4675"/>
      <c r="R4675"/>
      <c r="S4675"/>
      <c r="T4675"/>
    </row>
    <row r="4676" spans="1:20" ht="17.25" customHeight="1">
      <c r="A4676"/>
      <c r="B4676"/>
      <c r="P4676"/>
      <c r="R4676"/>
      <c r="S4676"/>
      <c r="T4676"/>
    </row>
    <row r="4677" spans="1:20" ht="17.25" customHeight="1">
      <c r="A4677"/>
      <c r="B4677"/>
      <c r="P4677"/>
      <c r="R4677"/>
      <c r="S4677"/>
      <c r="T4677"/>
    </row>
    <row r="4678" spans="1:20" ht="17.25" customHeight="1">
      <c r="A4678"/>
      <c r="B4678"/>
      <c r="P4678"/>
      <c r="R4678"/>
      <c r="S4678"/>
      <c r="T4678"/>
    </row>
    <row r="4679" spans="1:20" ht="17.25" customHeight="1">
      <c r="A4679"/>
      <c r="B4679"/>
      <c r="P4679"/>
      <c r="R4679"/>
      <c r="S4679"/>
      <c r="T4679"/>
    </row>
    <row r="4680" spans="1:20" ht="17.25" customHeight="1">
      <c r="A4680"/>
      <c r="B4680"/>
      <c r="P4680"/>
      <c r="R4680"/>
      <c r="S4680"/>
      <c r="T4680"/>
    </row>
    <row r="4681" spans="1:20" ht="17.25" customHeight="1">
      <c r="A4681"/>
      <c r="B4681"/>
      <c r="P4681"/>
      <c r="R4681"/>
      <c r="S4681"/>
      <c r="T4681"/>
    </row>
    <row r="4682" spans="1:20" ht="17.25" customHeight="1">
      <c r="A4682"/>
      <c r="B4682"/>
      <c r="P4682"/>
      <c r="R4682"/>
      <c r="S4682"/>
      <c r="T4682"/>
    </row>
    <row r="4683" spans="1:20" ht="17.25" customHeight="1">
      <c r="A4683"/>
      <c r="B4683"/>
      <c r="P4683"/>
      <c r="R4683"/>
      <c r="S4683"/>
      <c r="T4683"/>
    </row>
    <row r="4684" spans="1:20" ht="17.25" customHeight="1">
      <c r="A4684"/>
      <c r="B4684"/>
      <c r="P4684"/>
      <c r="R4684"/>
      <c r="S4684"/>
      <c r="T4684"/>
    </row>
    <row r="4685" spans="1:20" ht="17.25" customHeight="1">
      <c r="A4685"/>
      <c r="B4685"/>
      <c r="P4685"/>
      <c r="R4685"/>
      <c r="S4685"/>
      <c r="T4685"/>
    </row>
    <row r="4686" spans="1:20" ht="17.25" customHeight="1">
      <c r="A4686"/>
      <c r="B4686"/>
      <c r="P4686"/>
      <c r="R4686"/>
      <c r="S4686"/>
      <c r="T4686"/>
    </row>
    <row r="4687" spans="1:20" ht="17.25" customHeight="1">
      <c r="A4687"/>
      <c r="B4687"/>
      <c r="P4687"/>
      <c r="R4687"/>
      <c r="S4687"/>
      <c r="T4687"/>
    </row>
    <row r="4688" spans="1:20" ht="17.25" customHeight="1">
      <c r="A4688"/>
      <c r="B4688"/>
      <c r="P4688"/>
      <c r="R4688"/>
      <c r="S4688"/>
      <c r="T4688"/>
    </row>
    <row r="4689" spans="1:20" ht="17.25" customHeight="1">
      <c r="A4689"/>
      <c r="B4689"/>
      <c r="P4689"/>
      <c r="R4689"/>
      <c r="S4689"/>
      <c r="T4689"/>
    </row>
    <row r="4690" spans="1:20" ht="17.25" customHeight="1">
      <c r="A4690"/>
      <c r="B4690"/>
      <c r="P4690"/>
      <c r="R4690"/>
      <c r="S4690"/>
      <c r="T4690"/>
    </row>
    <row r="4691" spans="1:20" ht="17.25" customHeight="1">
      <c r="A4691"/>
      <c r="B4691"/>
      <c r="P4691"/>
      <c r="R4691"/>
      <c r="S4691"/>
      <c r="T4691"/>
    </row>
    <row r="4692" spans="1:20" ht="17.25" customHeight="1">
      <c r="A4692"/>
      <c r="B4692"/>
      <c r="P4692"/>
      <c r="R4692"/>
      <c r="S4692"/>
      <c r="T4692"/>
    </row>
    <row r="4693" spans="1:20" ht="17.25" customHeight="1">
      <c r="A4693"/>
      <c r="B4693"/>
      <c r="P4693"/>
      <c r="R4693"/>
      <c r="S4693"/>
      <c r="T4693"/>
    </row>
    <row r="4694" spans="1:20" ht="17.25" customHeight="1">
      <c r="A4694"/>
      <c r="B4694"/>
      <c r="P4694"/>
      <c r="R4694"/>
      <c r="S4694"/>
      <c r="T4694"/>
    </row>
    <row r="4695" spans="1:20" ht="17.25" customHeight="1">
      <c r="A4695"/>
      <c r="B4695"/>
      <c r="P4695"/>
      <c r="R4695"/>
      <c r="S4695"/>
      <c r="T4695"/>
    </row>
    <row r="4696" spans="1:20" ht="17.25" customHeight="1">
      <c r="A4696"/>
      <c r="B4696"/>
      <c r="P4696"/>
      <c r="R4696"/>
      <c r="S4696"/>
      <c r="T4696"/>
    </row>
    <row r="4697" spans="1:20" ht="17.25" customHeight="1">
      <c r="A4697"/>
      <c r="B4697"/>
      <c r="P4697"/>
      <c r="R4697"/>
      <c r="S4697"/>
      <c r="T4697"/>
    </row>
    <row r="4698" spans="1:20" ht="17.25" customHeight="1">
      <c r="A4698"/>
      <c r="B4698"/>
      <c r="P4698"/>
      <c r="R4698"/>
      <c r="S4698"/>
      <c r="T4698"/>
    </row>
    <row r="4699" spans="1:20" ht="17.25" customHeight="1">
      <c r="A4699"/>
      <c r="B4699"/>
      <c r="P4699"/>
      <c r="R4699"/>
      <c r="S4699"/>
      <c r="T4699"/>
    </row>
    <row r="4700" spans="1:20" ht="17.25" customHeight="1">
      <c r="A4700"/>
      <c r="B4700"/>
      <c r="P4700"/>
      <c r="R4700"/>
      <c r="S4700"/>
      <c r="T4700"/>
    </row>
    <row r="4701" spans="1:20" ht="17.25" customHeight="1">
      <c r="A4701"/>
      <c r="B4701"/>
      <c r="P4701"/>
      <c r="R4701"/>
      <c r="S4701"/>
      <c r="T4701"/>
    </row>
    <row r="4702" spans="1:20" ht="17.25" customHeight="1">
      <c r="A4702"/>
      <c r="B4702"/>
      <c r="P4702"/>
      <c r="R4702"/>
      <c r="S4702"/>
      <c r="T4702"/>
    </row>
    <row r="4703" spans="1:20" ht="17.25" customHeight="1">
      <c r="A4703"/>
      <c r="B4703"/>
      <c r="P4703"/>
      <c r="R4703"/>
      <c r="S4703"/>
      <c r="T4703"/>
    </row>
    <row r="4704" spans="1:20" ht="17.25" customHeight="1">
      <c r="A4704"/>
      <c r="B4704"/>
      <c r="P4704"/>
      <c r="R4704"/>
      <c r="S4704"/>
      <c r="T4704"/>
    </row>
    <row r="4705" spans="1:20" ht="17.25" customHeight="1">
      <c r="A4705"/>
      <c r="B4705"/>
      <c r="P4705"/>
      <c r="R4705"/>
      <c r="S4705"/>
      <c r="T4705"/>
    </row>
    <row r="4706" spans="1:20" ht="17.25" customHeight="1">
      <c r="A4706"/>
      <c r="B4706"/>
      <c r="P4706"/>
      <c r="R4706"/>
      <c r="S4706"/>
      <c r="T4706"/>
    </row>
    <row r="4707" spans="1:20" ht="17.25" customHeight="1">
      <c r="A4707"/>
      <c r="B4707"/>
      <c r="P4707"/>
      <c r="R4707"/>
      <c r="S4707"/>
      <c r="T4707"/>
    </row>
    <row r="4708" spans="1:20" ht="17.25" customHeight="1">
      <c r="A4708"/>
      <c r="B4708"/>
      <c r="P4708"/>
      <c r="R4708"/>
      <c r="S4708"/>
      <c r="T4708"/>
    </row>
    <row r="4709" spans="1:20" ht="17.25" customHeight="1">
      <c r="A4709"/>
      <c r="B4709"/>
      <c r="P4709"/>
      <c r="R4709"/>
      <c r="S4709"/>
      <c r="T4709"/>
    </row>
    <row r="4710" spans="1:20" ht="17.25" customHeight="1">
      <c r="A4710"/>
      <c r="B4710"/>
      <c r="P4710"/>
      <c r="R4710"/>
      <c r="S4710"/>
      <c r="T4710"/>
    </row>
    <row r="4711" spans="1:20" ht="17.25" customHeight="1">
      <c r="A4711"/>
      <c r="B4711"/>
      <c r="P4711"/>
      <c r="R4711"/>
      <c r="S4711"/>
      <c r="T4711"/>
    </row>
    <row r="4712" spans="1:20" ht="17.25" customHeight="1">
      <c r="A4712"/>
      <c r="B4712"/>
      <c r="P4712"/>
      <c r="R4712"/>
      <c r="S4712"/>
      <c r="T4712"/>
    </row>
    <row r="4713" spans="1:20" ht="17.25" customHeight="1">
      <c r="A4713"/>
      <c r="B4713"/>
      <c r="P4713"/>
      <c r="R4713"/>
      <c r="S4713"/>
      <c r="T4713"/>
    </row>
    <row r="4714" spans="1:20" ht="17.25" customHeight="1">
      <c r="A4714"/>
      <c r="B4714"/>
      <c r="P4714"/>
      <c r="R4714"/>
      <c r="S4714"/>
      <c r="T4714"/>
    </row>
    <row r="4715" spans="1:20" ht="17.25" customHeight="1">
      <c r="A4715"/>
      <c r="B4715"/>
      <c r="P4715"/>
      <c r="R4715"/>
      <c r="S4715"/>
      <c r="T4715"/>
    </row>
    <row r="4716" spans="1:20" ht="17.25" customHeight="1">
      <c r="A4716"/>
      <c r="B4716"/>
      <c r="P4716"/>
      <c r="R4716"/>
      <c r="S4716"/>
      <c r="T4716"/>
    </row>
    <row r="4717" spans="1:20" ht="17.25" customHeight="1">
      <c r="A4717"/>
      <c r="B4717"/>
      <c r="P4717"/>
      <c r="R4717"/>
      <c r="S4717"/>
      <c r="T4717"/>
    </row>
    <row r="4718" spans="1:20" ht="17.25" customHeight="1">
      <c r="A4718"/>
      <c r="B4718"/>
      <c r="P4718"/>
      <c r="R4718"/>
      <c r="S4718"/>
      <c r="T4718"/>
    </row>
    <row r="4719" spans="1:20" ht="17.25" customHeight="1">
      <c r="A4719"/>
      <c r="B4719"/>
      <c r="P4719"/>
      <c r="R4719"/>
      <c r="S4719"/>
      <c r="T4719"/>
    </row>
    <row r="4720" spans="1:20" ht="17.25" customHeight="1">
      <c r="A4720"/>
      <c r="B4720"/>
      <c r="P4720"/>
      <c r="R4720"/>
      <c r="S4720"/>
      <c r="T4720"/>
    </row>
    <row r="4721" spans="1:20" ht="17.25" customHeight="1">
      <c r="A4721"/>
      <c r="B4721"/>
      <c r="P4721"/>
      <c r="R4721"/>
      <c r="S4721"/>
      <c r="T4721"/>
    </row>
    <row r="4722" spans="1:20" ht="17.25" customHeight="1">
      <c r="A4722"/>
      <c r="B4722"/>
      <c r="P4722"/>
      <c r="R4722"/>
      <c r="S4722"/>
      <c r="T4722"/>
    </row>
    <row r="4723" spans="1:20" ht="17.25" customHeight="1">
      <c r="A4723"/>
      <c r="B4723"/>
      <c r="P4723"/>
      <c r="R4723"/>
      <c r="S4723"/>
      <c r="T4723"/>
    </row>
    <row r="4724" spans="1:20" ht="17.25" customHeight="1">
      <c r="A4724"/>
      <c r="B4724"/>
      <c r="P4724"/>
      <c r="R4724"/>
      <c r="S4724"/>
      <c r="T4724"/>
    </row>
    <row r="4725" spans="1:20" ht="17.25" customHeight="1">
      <c r="A4725"/>
      <c r="B4725"/>
      <c r="P4725"/>
      <c r="R4725"/>
      <c r="S4725"/>
      <c r="T4725"/>
    </row>
    <row r="4726" spans="1:20" ht="17.25" customHeight="1">
      <c r="A4726"/>
      <c r="B4726"/>
      <c r="P4726"/>
      <c r="R4726"/>
      <c r="S4726"/>
      <c r="T4726"/>
    </row>
    <row r="4727" spans="1:20" ht="17.25" customHeight="1">
      <c r="A4727"/>
      <c r="B4727"/>
      <c r="P4727"/>
      <c r="R4727"/>
      <c r="S4727"/>
      <c r="T4727"/>
    </row>
    <row r="4728" spans="1:20" ht="17.25" customHeight="1">
      <c r="A4728"/>
      <c r="B4728"/>
      <c r="P4728"/>
      <c r="R4728"/>
      <c r="S4728"/>
      <c r="T4728"/>
    </row>
    <row r="4729" spans="1:20" ht="17.25" customHeight="1">
      <c r="A4729"/>
      <c r="B4729"/>
      <c r="P4729"/>
      <c r="R4729"/>
      <c r="S4729"/>
      <c r="T4729"/>
    </row>
    <row r="4730" spans="1:20" ht="17.25" customHeight="1">
      <c r="A4730"/>
      <c r="B4730"/>
      <c r="P4730"/>
      <c r="R4730"/>
      <c r="S4730"/>
      <c r="T4730"/>
    </row>
    <row r="4731" spans="1:20" ht="17.25" customHeight="1">
      <c r="A4731"/>
      <c r="B4731"/>
      <c r="P4731"/>
      <c r="R4731"/>
      <c r="S4731"/>
      <c r="T4731"/>
    </row>
    <row r="4732" spans="1:20" ht="17.25" customHeight="1">
      <c r="A4732"/>
      <c r="B4732"/>
      <c r="P4732"/>
      <c r="R4732"/>
      <c r="S4732"/>
      <c r="T4732"/>
    </row>
    <row r="4733" spans="1:20" ht="17.25" customHeight="1">
      <c r="A4733"/>
      <c r="B4733"/>
      <c r="P4733"/>
      <c r="R4733"/>
      <c r="S4733"/>
      <c r="T4733"/>
    </row>
    <row r="4734" spans="1:20" ht="17.25" customHeight="1">
      <c r="A4734"/>
      <c r="B4734"/>
      <c r="P4734"/>
      <c r="R4734"/>
      <c r="S4734"/>
      <c r="T4734"/>
    </row>
    <row r="4735" spans="1:20" ht="17.25" customHeight="1">
      <c r="A4735"/>
      <c r="B4735"/>
      <c r="P4735"/>
      <c r="R4735"/>
      <c r="S4735"/>
      <c r="T4735"/>
    </row>
    <row r="4736" spans="1:20" ht="17.25" customHeight="1">
      <c r="A4736"/>
      <c r="B4736"/>
      <c r="P4736"/>
      <c r="R4736"/>
      <c r="S4736"/>
      <c r="T4736"/>
    </row>
    <row r="4737" spans="1:20" ht="17.25" customHeight="1">
      <c r="A4737"/>
      <c r="B4737"/>
      <c r="P4737"/>
      <c r="R4737"/>
      <c r="S4737"/>
      <c r="T4737"/>
    </row>
    <row r="4738" spans="1:20" ht="17.25" customHeight="1">
      <c r="A4738"/>
      <c r="B4738"/>
      <c r="P4738"/>
      <c r="R4738"/>
      <c r="S4738"/>
      <c r="T4738"/>
    </row>
    <row r="4739" spans="1:20" ht="17.25" customHeight="1">
      <c r="A4739"/>
      <c r="B4739"/>
      <c r="P4739"/>
      <c r="R4739"/>
      <c r="S4739"/>
      <c r="T4739"/>
    </row>
    <row r="4740" spans="1:20" ht="17.25" customHeight="1">
      <c r="A4740"/>
      <c r="B4740"/>
      <c r="P4740"/>
      <c r="R4740"/>
      <c r="S4740"/>
      <c r="T4740"/>
    </row>
    <row r="4741" spans="1:20" ht="17.25" customHeight="1">
      <c r="A4741"/>
      <c r="B4741"/>
      <c r="P4741"/>
      <c r="R4741"/>
      <c r="S4741"/>
      <c r="T4741"/>
    </row>
    <row r="4742" spans="1:20" ht="17.25" customHeight="1">
      <c r="A4742"/>
      <c r="B4742"/>
      <c r="P4742"/>
      <c r="R4742"/>
      <c r="S4742"/>
      <c r="T4742"/>
    </row>
    <row r="4743" spans="1:20" ht="17.25" customHeight="1">
      <c r="A4743"/>
      <c r="B4743"/>
      <c r="P4743"/>
      <c r="R4743"/>
      <c r="S4743"/>
      <c r="T4743"/>
    </row>
    <row r="4744" spans="1:20" ht="17.25" customHeight="1">
      <c r="A4744"/>
      <c r="B4744"/>
      <c r="P4744"/>
      <c r="R4744"/>
      <c r="S4744"/>
      <c r="T4744"/>
    </row>
    <row r="4745" spans="1:20" ht="17.25" customHeight="1">
      <c r="A4745"/>
      <c r="B4745"/>
      <c r="P4745"/>
      <c r="R4745"/>
      <c r="S4745"/>
      <c r="T4745"/>
    </row>
    <row r="4746" spans="1:20" ht="17.25" customHeight="1">
      <c r="A4746"/>
      <c r="B4746"/>
      <c r="P4746"/>
      <c r="R4746"/>
      <c r="S4746"/>
      <c r="T4746"/>
    </row>
    <row r="4747" spans="1:20" ht="17.25" customHeight="1">
      <c r="A4747"/>
      <c r="B4747"/>
      <c r="P4747"/>
      <c r="R4747"/>
      <c r="S4747"/>
      <c r="T4747"/>
    </row>
    <row r="4748" spans="1:20" ht="17.25" customHeight="1">
      <c r="A4748"/>
      <c r="B4748"/>
      <c r="P4748"/>
      <c r="R4748"/>
      <c r="S4748"/>
      <c r="T4748"/>
    </row>
    <row r="4749" spans="1:20" ht="17.25" customHeight="1">
      <c r="A4749"/>
      <c r="B4749"/>
      <c r="P4749"/>
      <c r="R4749"/>
      <c r="S4749"/>
      <c r="T4749"/>
    </row>
    <row r="4750" spans="1:20" ht="17.25" customHeight="1">
      <c r="A4750"/>
      <c r="B4750"/>
      <c r="P4750"/>
      <c r="R4750"/>
      <c r="S4750"/>
      <c r="T4750"/>
    </row>
    <row r="4751" spans="1:20" ht="17.25" customHeight="1">
      <c r="A4751"/>
      <c r="B4751"/>
      <c r="P4751"/>
      <c r="R4751"/>
      <c r="S4751"/>
      <c r="T4751"/>
    </row>
    <row r="4752" spans="1:20" ht="17.25" customHeight="1">
      <c r="A4752"/>
      <c r="B4752"/>
      <c r="P4752"/>
      <c r="R4752"/>
      <c r="S4752"/>
      <c r="T4752"/>
    </row>
    <row r="4753" spans="1:20" ht="17.25" customHeight="1">
      <c r="A4753"/>
      <c r="B4753"/>
      <c r="P4753"/>
      <c r="R4753"/>
      <c r="S4753"/>
      <c r="T4753"/>
    </row>
    <row r="4754" spans="1:20" ht="17.25" customHeight="1">
      <c r="A4754"/>
      <c r="B4754"/>
      <c r="P4754"/>
      <c r="R4754"/>
      <c r="S4754"/>
      <c r="T4754"/>
    </row>
    <row r="4755" spans="1:20" ht="17.25" customHeight="1">
      <c r="A4755"/>
      <c r="B4755"/>
      <c r="P4755"/>
      <c r="R4755"/>
      <c r="S4755"/>
      <c r="T4755"/>
    </row>
    <row r="4756" spans="1:20" ht="17.25" customHeight="1">
      <c r="A4756"/>
      <c r="B4756"/>
      <c r="P4756"/>
      <c r="R4756"/>
      <c r="S4756"/>
      <c r="T4756"/>
    </row>
    <row r="4757" spans="1:20" ht="17.25" customHeight="1">
      <c r="A4757"/>
      <c r="B4757"/>
      <c r="P4757"/>
      <c r="R4757"/>
      <c r="S4757"/>
      <c r="T4757"/>
    </row>
    <row r="4758" spans="1:20" ht="17.25" customHeight="1">
      <c r="A4758"/>
      <c r="B4758"/>
      <c r="P4758"/>
      <c r="R4758"/>
      <c r="S4758"/>
      <c r="T4758"/>
    </row>
    <row r="4759" spans="1:20" ht="17.25" customHeight="1">
      <c r="A4759"/>
      <c r="B4759"/>
      <c r="P4759"/>
      <c r="R4759"/>
      <c r="S4759"/>
      <c r="T4759"/>
    </row>
    <row r="4760" spans="1:20" ht="17.25" customHeight="1">
      <c r="A4760"/>
      <c r="B4760"/>
      <c r="P4760"/>
      <c r="R4760"/>
      <c r="S4760"/>
      <c r="T4760"/>
    </row>
    <row r="4761" spans="1:20" ht="17.25" customHeight="1">
      <c r="A4761"/>
      <c r="B4761"/>
      <c r="P4761"/>
      <c r="R4761"/>
      <c r="S4761"/>
      <c r="T4761"/>
    </row>
    <row r="4762" spans="1:20" ht="17.25" customHeight="1">
      <c r="A4762"/>
      <c r="B4762"/>
      <c r="P4762"/>
      <c r="R4762"/>
      <c r="S4762"/>
      <c r="T4762"/>
    </row>
    <row r="4763" spans="1:20" ht="17.25" customHeight="1">
      <c r="A4763"/>
      <c r="B4763"/>
      <c r="P4763"/>
      <c r="R4763"/>
      <c r="S4763"/>
      <c r="T4763"/>
    </row>
    <row r="4764" spans="1:20" ht="17.25" customHeight="1">
      <c r="A4764"/>
      <c r="B4764"/>
      <c r="P4764"/>
      <c r="R4764"/>
      <c r="S4764"/>
      <c r="T4764"/>
    </row>
    <row r="4765" spans="1:20" ht="17.25" customHeight="1">
      <c r="A4765"/>
      <c r="B4765"/>
      <c r="P4765"/>
      <c r="R4765"/>
      <c r="S4765"/>
      <c r="T4765"/>
    </row>
    <row r="4766" spans="1:20" ht="17.25" customHeight="1">
      <c r="A4766"/>
      <c r="B4766"/>
      <c r="P4766"/>
      <c r="R4766"/>
      <c r="S4766"/>
      <c r="T4766"/>
    </row>
    <row r="4767" spans="1:20" ht="17.25" customHeight="1">
      <c r="A4767"/>
      <c r="B4767"/>
      <c r="P4767"/>
      <c r="R4767"/>
      <c r="S4767"/>
      <c r="T4767"/>
    </row>
    <row r="4768" spans="1:20" ht="17.25" customHeight="1">
      <c r="A4768"/>
      <c r="B4768"/>
      <c r="P4768"/>
      <c r="R4768"/>
      <c r="S4768"/>
      <c r="T4768"/>
    </row>
    <row r="4769" spans="1:20" ht="17.25" customHeight="1">
      <c r="A4769"/>
      <c r="B4769"/>
      <c r="P4769"/>
      <c r="R4769"/>
      <c r="S4769"/>
      <c r="T4769"/>
    </row>
    <row r="4770" spans="1:20" ht="17.25" customHeight="1">
      <c r="A4770"/>
      <c r="B4770"/>
      <c r="P4770"/>
      <c r="R4770"/>
      <c r="S4770"/>
      <c r="T4770"/>
    </row>
    <row r="4771" spans="1:20" ht="17.25" customHeight="1">
      <c r="A4771"/>
      <c r="B4771"/>
      <c r="P4771"/>
      <c r="R4771"/>
      <c r="S4771"/>
      <c r="T4771"/>
    </row>
    <row r="4772" spans="1:20" ht="17.25" customHeight="1">
      <c r="A4772"/>
      <c r="B4772"/>
      <c r="P4772"/>
      <c r="R4772"/>
      <c r="S4772"/>
      <c r="T4772"/>
    </row>
    <row r="4773" spans="1:20" ht="17.25" customHeight="1">
      <c r="A4773"/>
      <c r="B4773"/>
      <c r="P4773"/>
      <c r="R4773"/>
      <c r="S4773"/>
      <c r="T4773"/>
    </row>
    <row r="4774" spans="1:20" ht="17.25" customHeight="1">
      <c r="A4774"/>
      <c r="B4774"/>
      <c r="P4774"/>
      <c r="R4774"/>
      <c r="S4774"/>
      <c r="T4774"/>
    </row>
    <row r="4775" spans="1:20" ht="17.25" customHeight="1">
      <c r="A4775"/>
      <c r="B4775"/>
      <c r="P4775"/>
      <c r="R4775"/>
      <c r="S4775"/>
      <c r="T4775"/>
    </row>
    <row r="4776" spans="1:20" ht="17.25" customHeight="1">
      <c r="A4776"/>
      <c r="B4776"/>
      <c r="P4776"/>
      <c r="R4776"/>
      <c r="S4776"/>
      <c r="T4776"/>
    </row>
    <row r="4777" spans="1:20" ht="17.25" customHeight="1">
      <c r="A4777"/>
      <c r="B4777"/>
      <c r="P4777"/>
      <c r="R4777"/>
      <c r="S4777"/>
      <c r="T4777"/>
    </row>
    <row r="4778" spans="1:20" ht="17.25" customHeight="1">
      <c r="A4778"/>
      <c r="B4778"/>
      <c r="P4778"/>
      <c r="R4778"/>
      <c r="S4778"/>
      <c r="T4778"/>
    </row>
    <row r="4779" spans="1:20" ht="17.25" customHeight="1">
      <c r="A4779"/>
      <c r="B4779"/>
      <c r="P4779"/>
      <c r="R4779"/>
      <c r="S4779"/>
      <c r="T4779"/>
    </row>
    <row r="4780" spans="1:20" ht="17.25" customHeight="1">
      <c r="A4780"/>
      <c r="B4780"/>
      <c r="P4780"/>
      <c r="R4780"/>
      <c r="S4780"/>
      <c r="T4780"/>
    </row>
    <row r="4781" spans="1:20" ht="17.25" customHeight="1">
      <c r="A4781"/>
      <c r="B4781"/>
      <c r="P4781"/>
      <c r="R4781"/>
      <c r="S4781"/>
      <c r="T4781"/>
    </row>
    <row r="4782" spans="1:20" ht="17.25" customHeight="1">
      <c r="A4782"/>
      <c r="B4782"/>
      <c r="P4782"/>
      <c r="R4782"/>
      <c r="S4782"/>
      <c r="T4782"/>
    </row>
    <row r="4783" spans="1:20" ht="17.25" customHeight="1">
      <c r="A4783"/>
      <c r="B4783"/>
      <c r="P4783"/>
      <c r="R4783"/>
      <c r="S4783"/>
      <c r="T4783"/>
    </row>
    <row r="4784" spans="1:20" ht="17.25" customHeight="1">
      <c r="A4784"/>
      <c r="B4784"/>
      <c r="P4784"/>
      <c r="R4784"/>
      <c r="S4784"/>
      <c r="T4784"/>
    </row>
    <row r="4785" spans="1:20" ht="17.25" customHeight="1">
      <c r="A4785"/>
      <c r="B4785"/>
      <c r="P4785"/>
      <c r="R4785"/>
      <c r="S4785"/>
      <c r="T4785"/>
    </row>
    <row r="4786" spans="1:20" ht="17.25" customHeight="1">
      <c r="A4786"/>
      <c r="B4786"/>
      <c r="P4786"/>
      <c r="R4786"/>
      <c r="S4786"/>
      <c r="T4786"/>
    </row>
    <row r="4787" spans="1:20" ht="17.25" customHeight="1">
      <c r="A4787"/>
      <c r="B4787"/>
      <c r="P4787"/>
      <c r="R4787"/>
      <c r="S4787"/>
      <c r="T4787"/>
    </row>
    <row r="4788" spans="1:20" ht="17.25" customHeight="1">
      <c r="A4788"/>
      <c r="B4788"/>
      <c r="P4788"/>
      <c r="R4788"/>
      <c r="S4788"/>
      <c r="T4788"/>
    </row>
    <row r="4789" spans="1:20" ht="17.25" customHeight="1">
      <c r="A4789"/>
      <c r="B4789"/>
      <c r="P4789"/>
      <c r="R4789"/>
      <c r="S4789"/>
      <c r="T4789"/>
    </row>
    <row r="4790" spans="1:20" ht="17.25" customHeight="1">
      <c r="A4790"/>
      <c r="B4790"/>
      <c r="P4790"/>
      <c r="R4790"/>
      <c r="S4790"/>
      <c r="T4790"/>
    </row>
    <row r="4791" spans="1:20" ht="17.25" customHeight="1">
      <c r="A4791"/>
      <c r="B4791"/>
      <c r="P4791"/>
      <c r="R4791"/>
      <c r="S4791"/>
      <c r="T4791"/>
    </row>
    <row r="4792" spans="1:20" ht="17.25" customHeight="1">
      <c r="A4792"/>
      <c r="B4792"/>
      <c r="P4792"/>
      <c r="R4792"/>
      <c r="S4792"/>
      <c r="T4792"/>
    </row>
    <row r="4793" spans="1:20" ht="17.25" customHeight="1">
      <c r="A4793"/>
      <c r="B4793"/>
      <c r="P4793"/>
      <c r="R4793"/>
      <c r="S4793"/>
      <c r="T4793"/>
    </row>
    <row r="4794" spans="1:20" ht="17.25" customHeight="1">
      <c r="A4794"/>
      <c r="B4794"/>
      <c r="P4794"/>
      <c r="R4794"/>
      <c r="S4794"/>
      <c r="T4794"/>
    </row>
    <row r="4795" spans="1:20" ht="17.25" customHeight="1">
      <c r="A4795"/>
      <c r="B4795"/>
      <c r="P4795"/>
      <c r="R4795"/>
      <c r="S4795"/>
      <c r="T4795"/>
    </row>
    <row r="4796" spans="1:20" ht="17.25" customHeight="1">
      <c r="A4796"/>
      <c r="B4796"/>
      <c r="P4796"/>
      <c r="R4796"/>
      <c r="S4796"/>
      <c r="T4796"/>
    </row>
    <row r="4797" spans="1:20" ht="17.25" customHeight="1">
      <c r="A4797"/>
      <c r="B4797"/>
      <c r="P4797"/>
      <c r="R4797"/>
      <c r="S4797"/>
      <c r="T4797"/>
    </row>
    <row r="4798" spans="1:20" ht="17.25" customHeight="1">
      <c r="A4798"/>
      <c r="B4798"/>
      <c r="P4798"/>
      <c r="R4798"/>
      <c r="S4798"/>
      <c r="T4798"/>
    </row>
    <row r="4799" spans="1:20" ht="17.25" customHeight="1">
      <c r="A4799"/>
      <c r="B4799"/>
      <c r="P4799"/>
      <c r="R4799"/>
      <c r="S4799"/>
      <c r="T4799"/>
    </row>
    <row r="4800" spans="1:20" ht="17.25" customHeight="1">
      <c r="A4800"/>
      <c r="B4800"/>
      <c r="P4800"/>
      <c r="R4800"/>
      <c r="S4800"/>
      <c r="T4800"/>
    </row>
    <row r="4801" spans="1:20" ht="17.25" customHeight="1">
      <c r="A4801"/>
      <c r="B4801"/>
      <c r="P4801"/>
      <c r="R4801"/>
      <c r="S4801"/>
      <c r="T4801"/>
    </row>
    <row r="4802" spans="1:20" ht="17.25" customHeight="1">
      <c r="A4802"/>
      <c r="B4802"/>
      <c r="P4802"/>
      <c r="R4802"/>
      <c r="S4802"/>
      <c r="T4802"/>
    </row>
    <row r="4803" spans="1:20" ht="17.25" customHeight="1">
      <c r="A4803"/>
      <c r="B4803"/>
      <c r="P4803"/>
      <c r="R4803"/>
      <c r="S4803"/>
      <c r="T4803"/>
    </row>
    <row r="4804" spans="1:20" ht="17.25" customHeight="1">
      <c r="A4804"/>
      <c r="B4804"/>
      <c r="P4804"/>
      <c r="R4804"/>
      <c r="S4804"/>
      <c r="T4804"/>
    </row>
    <row r="4805" spans="1:20" ht="17.25" customHeight="1">
      <c r="A4805"/>
      <c r="B4805"/>
      <c r="P4805"/>
      <c r="R4805"/>
      <c r="S4805"/>
      <c r="T4805"/>
    </row>
    <row r="4806" spans="1:20" ht="17.25" customHeight="1">
      <c r="A4806"/>
      <c r="B4806"/>
      <c r="P4806"/>
      <c r="R4806"/>
      <c r="S4806"/>
      <c r="T4806"/>
    </row>
    <row r="4807" spans="1:20" ht="17.25" customHeight="1">
      <c r="A4807"/>
      <c r="B4807"/>
      <c r="P4807"/>
      <c r="R4807"/>
      <c r="S4807"/>
      <c r="T4807"/>
    </row>
    <row r="4808" spans="1:20" ht="17.25" customHeight="1">
      <c r="A4808"/>
      <c r="B4808"/>
      <c r="P4808"/>
      <c r="R4808"/>
      <c r="S4808"/>
      <c r="T4808"/>
    </row>
    <row r="4809" spans="1:20" ht="17.25" customHeight="1">
      <c r="A4809"/>
      <c r="B4809"/>
      <c r="P4809"/>
      <c r="R4809"/>
      <c r="S4809"/>
      <c r="T4809"/>
    </row>
    <row r="4810" spans="1:20" ht="17.25" customHeight="1">
      <c r="A4810"/>
      <c r="B4810"/>
      <c r="P4810"/>
      <c r="R4810"/>
      <c r="S4810"/>
      <c r="T4810"/>
    </row>
    <row r="4811" spans="1:20" ht="17.25" customHeight="1">
      <c r="A4811"/>
      <c r="B4811"/>
      <c r="P4811"/>
      <c r="R4811"/>
      <c r="S4811"/>
      <c r="T4811"/>
    </row>
    <row r="4812" spans="1:20" ht="17.25" customHeight="1">
      <c r="A4812"/>
      <c r="B4812"/>
      <c r="P4812"/>
      <c r="R4812"/>
      <c r="S4812"/>
      <c r="T4812"/>
    </row>
    <row r="4813" spans="1:20" ht="17.25" customHeight="1">
      <c r="A4813"/>
      <c r="B4813"/>
      <c r="P4813"/>
      <c r="R4813"/>
      <c r="S4813"/>
      <c r="T4813"/>
    </row>
    <row r="4814" spans="1:20" ht="17.25" customHeight="1">
      <c r="A4814"/>
      <c r="B4814"/>
      <c r="P4814"/>
      <c r="R4814"/>
      <c r="S4814"/>
      <c r="T4814"/>
    </row>
    <row r="4815" spans="1:20" ht="17.25" customHeight="1">
      <c r="A4815"/>
      <c r="B4815"/>
      <c r="P4815"/>
      <c r="R4815"/>
      <c r="S4815"/>
      <c r="T4815"/>
    </row>
    <row r="4816" spans="1:20" ht="17.25" customHeight="1">
      <c r="A4816"/>
      <c r="B4816"/>
      <c r="P4816"/>
      <c r="R4816"/>
      <c r="S4816"/>
      <c r="T4816"/>
    </row>
    <row r="4817" spans="1:20" ht="17.25" customHeight="1">
      <c r="A4817"/>
      <c r="B4817"/>
      <c r="P4817"/>
      <c r="R4817"/>
      <c r="S4817"/>
      <c r="T4817"/>
    </row>
    <row r="4818" spans="1:20" ht="17.25" customHeight="1">
      <c r="A4818"/>
      <c r="B4818"/>
      <c r="P4818"/>
      <c r="R4818"/>
      <c r="S4818"/>
      <c r="T4818"/>
    </row>
    <row r="4819" spans="1:20" ht="17.25" customHeight="1">
      <c r="A4819"/>
      <c r="B4819"/>
      <c r="P4819"/>
      <c r="R4819"/>
      <c r="S4819"/>
      <c r="T4819"/>
    </row>
    <row r="4820" spans="1:20" ht="17.25" customHeight="1">
      <c r="A4820"/>
      <c r="B4820"/>
      <c r="P4820"/>
      <c r="R4820"/>
      <c r="S4820"/>
      <c r="T4820"/>
    </row>
    <row r="4821" spans="1:20" ht="17.25" customHeight="1">
      <c r="A4821"/>
      <c r="B4821"/>
      <c r="P4821"/>
      <c r="R4821"/>
      <c r="S4821"/>
      <c r="T4821"/>
    </row>
    <row r="4822" spans="1:20" ht="17.25" customHeight="1">
      <c r="A4822"/>
      <c r="B4822"/>
      <c r="P4822"/>
      <c r="R4822"/>
      <c r="S4822"/>
      <c r="T4822"/>
    </row>
    <row r="4823" spans="1:20" ht="17.25" customHeight="1">
      <c r="A4823"/>
      <c r="B4823"/>
      <c r="P4823"/>
      <c r="R4823"/>
      <c r="S4823"/>
      <c r="T4823"/>
    </row>
    <row r="4824" spans="1:20" ht="17.25" customHeight="1">
      <c r="A4824"/>
      <c r="B4824"/>
      <c r="P4824"/>
      <c r="R4824"/>
      <c r="S4824"/>
      <c r="T4824"/>
    </row>
    <row r="4825" spans="1:20" ht="17.25" customHeight="1">
      <c r="A4825"/>
      <c r="B4825"/>
      <c r="P4825"/>
      <c r="R4825"/>
      <c r="S4825"/>
      <c r="T4825"/>
    </row>
    <row r="4826" spans="1:20" ht="17.25" customHeight="1">
      <c r="A4826"/>
      <c r="B4826"/>
      <c r="P4826"/>
      <c r="R4826"/>
      <c r="S4826"/>
      <c r="T4826"/>
    </row>
    <row r="4827" spans="1:20" ht="17.25" customHeight="1">
      <c r="A4827"/>
      <c r="B4827"/>
      <c r="P4827"/>
      <c r="R4827"/>
      <c r="S4827"/>
      <c r="T4827"/>
    </row>
    <row r="4828" spans="1:20" ht="17.25" customHeight="1">
      <c r="A4828"/>
      <c r="B4828"/>
      <c r="P4828"/>
      <c r="R4828"/>
      <c r="S4828"/>
      <c r="T4828"/>
    </row>
    <row r="4829" spans="1:20" ht="17.25" customHeight="1">
      <c r="A4829"/>
      <c r="B4829"/>
      <c r="P4829"/>
      <c r="R4829"/>
      <c r="S4829"/>
      <c r="T4829"/>
    </row>
    <row r="4830" spans="1:20" ht="17.25" customHeight="1">
      <c r="A4830"/>
      <c r="B4830"/>
      <c r="P4830"/>
      <c r="R4830"/>
      <c r="S4830"/>
      <c r="T4830"/>
    </row>
    <row r="4831" spans="1:20" ht="17.25" customHeight="1">
      <c r="A4831"/>
      <c r="B4831"/>
      <c r="P4831"/>
      <c r="R4831"/>
      <c r="S4831"/>
      <c r="T4831"/>
    </row>
    <row r="4832" spans="1:20" ht="17.25" customHeight="1">
      <c r="A4832"/>
      <c r="B4832"/>
      <c r="P4832"/>
      <c r="R4832"/>
      <c r="S4832"/>
      <c r="T4832"/>
    </row>
    <row r="4833" spans="1:20" ht="17.25" customHeight="1">
      <c r="A4833"/>
      <c r="B4833"/>
      <c r="P4833"/>
      <c r="R4833"/>
      <c r="S4833"/>
      <c r="T4833"/>
    </row>
    <row r="4834" spans="1:20" ht="17.25" customHeight="1">
      <c r="A4834"/>
      <c r="B4834"/>
      <c r="P4834"/>
      <c r="R4834"/>
      <c r="S4834"/>
      <c r="T4834"/>
    </row>
    <row r="4835" spans="1:20" ht="17.25" customHeight="1">
      <c r="A4835"/>
      <c r="B4835"/>
      <c r="P4835"/>
      <c r="R4835"/>
      <c r="S4835"/>
      <c r="T4835"/>
    </row>
    <row r="4836" spans="1:20" ht="17.25" customHeight="1">
      <c r="A4836"/>
      <c r="B4836"/>
      <c r="P4836"/>
      <c r="R4836"/>
      <c r="S4836"/>
      <c r="T4836"/>
    </row>
    <row r="4837" spans="1:20" ht="17.25" customHeight="1">
      <c r="A4837"/>
      <c r="B4837"/>
      <c r="P4837"/>
      <c r="R4837"/>
      <c r="S4837"/>
      <c r="T4837"/>
    </row>
    <row r="4838" spans="1:20" ht="17.25" customHeight="1">
      <c r="A4838"/>
      <c r="B4838"/>
      <c r="P4838"/>
      <c r="R4838"/>
      <c r="S4838"/>
      <c r="T4838"/>
    </row>
    <row r="4839" spans="1:20" ht="17.25" customHeight="1">
      <c r="A4839"/>
      <c r="B4839"/>
      <c r="P4839"/>
      <c r="R4839"/>
      <c r="S4839"/>
      <c r="T4839"/>
    </row>
    <row r="4840" spans="1:20" ht="17.25" customHeight="1">
      <c r="A4840"/>
      <c r="B4840"/>
      <c r="P4840"/>
      <c r="R4840"/>
      <c r="S4840"/>
      <c r="T4840"/>
    </row>
    <row r="4841" spans="1:20" ht="17.25" customHeight="1">
      <c r="A4841"/>
      <c r="B4841"/>
      <c r="P4841"/>
      <c r="R4841"/>
      <c r="S4841"/>
      <c r="T4841"/>
    </row>
    <row r="4842" spans="1:20" ht="17.25" customHeight="1">
      <c r="A4842"/>
      <c r="B4842"/>
      <c r="P4842"/>
      <c r="R4842"/>
      <c r="S4842"/>
      <c r="T4842"/>
    </row>
    <row r="4843" spans="1:20" ht="17.25" customHeight="1">
      <c r="A4843"/>
      <c r="B4843"/>
      <c r="P4843"/>
      <c r="R4843"/>
      <c r="S4843"/>
      <c r="T4843"/>
    </row>
    <row r="4844" spans="1:20" ht="17.25" customHeight="1">
      <c r="A4844"/>
      <c r="B4844"/>
      <c r="P4844"/>
      <c r="R4844"/>
      <c r="S4844"/>
      <c r="T4844"/>
    </row>
    <row r="4845" spans="1:20" ht="17.25" customHeight="1">
      <c r="A4845"/>
      <c r="B4845"/>
      <c r="P4845"/>
      <c r="R4845"/>
      <c r="S4845"/>
      <c r="T4845"/>
    </row>
    <row r="4846" spans="1:20" ht="17.25" customHeight="1">
      <c r="A4846"/>
      <c r="B4846"/>
      <c r="P4846"/>
      <c r="R4846"/>
      <c r="S4846"/>
      <c r="T4846"/>
    </row>
    <row r="4847" spans="1:20" ht="17.25" customHeight="1">
      <c r="A4847"/>
      <c r="B4847"/>
      <c r="P4847"/>
      <c r="R4847"/>
      <c r="S4847"/>
      <c r="T4847"/>
    </row>
    <row r="4848" spans="1:20" ht="17.25" customHeight="1">
      <c r="A4848"/>
      <c r="B4848"/>
      <c r="P4848"/>
      <c r="R4848"/>
      <c r="S4848"/>
      <c r="T4848"/>
    </row>
    <row r="4849" spans="1:20" ht="17.25" customHeight="1">
      <c r="A4849"/>
      <c r="B4849"/>
      <c r="P4849"/>
      <c r="R4849"/>
      <c r="S4849"/>
      <c r="T4849"/>
    </row>
    <row r="4850" spans="1:20" ht="17.25" customHeight="1">
      <c r="A4850"/>
      <c r="B4850"/>
      <c r="P4850"/>
      <c r="R4850"/>
      <c r="S4850"/>
      <c r="T4850"/>
    </row>
    <row r="4851" spans="1:20" ht="17.25" customHeight="1">
      <c r="A4851"/>
      <c r="B4851"/>
      <c r="P4851"/>
      <c r="R4851"/>
      <c r="S4851"/>
      <c r="T4851"/>
    </row>
    <row r="4852" spans="1:20" ht="17.25" customHeight="1">
      <c r="A4852"/>
      <c r="B4852"/>
      <c r="P4852"/>
      <c r="R4852"/>
      <c r="S4852"/>
      <c r="T4852"/>
    </row>
    <row r="4853" spans="1:20" ht="17.25" customHeight="1">
      <c r="A4853"/>
      <c r="B4853"/>
      <c r="P4853"/>
      <c r="R4853"/>
      <c r="S4853"/>
      <c r="T4853"/>
    </row>
    <row r="4854" spans="1:20" ht="17.25" customHeight="1">
      <c r="A4854"/>
      <c r="B4854"/>
      <c r="P4854"/>
      <c r="R4854"/>
      <c r="S4854"/>
      <c r="T4854"/>
    </row>
    <row r="4855" spans="1:20" ht="17.25" customHeight="1">
      <c r="A4855"/>
      <c r="B4855"/>
      <c r="P4855"/>
      <c r="R4855"/>
      <c r="S4855"/>
      <c r="T4855"/>
    </row>
    <row r="4856" spans="1:20" ht="17.25" customHeight="1">
      <c r="A4856"/>
      <c r="B4856"/>
      <c r="P4856"/>
      <c r="R4856"/>
      <c r="S4856"/>
      <c r="T4856"/>
    </row>
    <row r="4857" spans="1:20" ht="17.25" customHeight="1">
      <c r="A4857"/>
      <c r="B4857"/>
      <c r="P4857"/>
      <c r="R4857"/>
      <c r="S4857"/>
      <c r="T4857"/>
    </row>
    <row r="4858" spans="1:20" ht="17.25" customHeight="1">
      <c r="A4858"/>
      <c r="B4858"/>
      <c r="P4858"/>
      <c r="R4858"/>
      <c r="S4858"/>
      <c r="T4858"/>
    </row>
    <row r="4859" spans="1:20" ht="17.25" customHeight="1">
      <c r="A4859"/>
      <c r="B4859"/>
      <c r="P4859"/>
      <c r="R4859"/>
      <c r="S4859"/>
      <c r="T4859"/>
    </row>
    <row r="4860" spans="1:20" ht="17.25" customHeight="1">
      <c r="A4860"/>
      <c r="B4860"/>
      <c r="P4860"/>
      <c r="R4860"/>
      <c r="S4860"/>
      <c r="T4860"/>
    </row>
    <row r="4861" spans="1:20" ht="17.25" customHeight="1">
      <c r="A4861"/>
      <c r="B4861"/>
      <c r="P4861"/>
      <c r="R4861"/>
      <c r="S4861"/>
      <c r="T4861"/>
    </row>
    <row r="4862" spans="1:20" ht="17.25" customHeight="1">
      <c r="A4862"/>
      <c r="B4862"/>
      <c r="P4862"/>
      <c r="R4862"/>
      <c r="S4862"/>
      <c r="T4862"/>
    </row>
    <row r="4863" spans="1:20" ht="17.25" customHeight="1">
      <c r="A4863"/>
      <c r="B4863"/>
      <c r="P4863"/>
      <c r="R4863"/>
      <c r="S4863"/>
      <c r="T4863"/>
    </row>
    <row r="4864" spans="1:20" ht="17.25" customHeight="1">
      <c r="A4864"/>
      <c r="B4864"/>
      <c r="P4864"/>
      <c r="R4864"/>
      <c r="S4864"/>
      <c r="T4864"/>
    </row>
    <row r="4865" spans="1:20" ht="17.25" customHeight="1">
      <c r="A4865"/>
      <c r="B4865"/>
      <c r="P4865"/>
      <c r="R4865"/>
      <c r="S4865"/>
      <c r="T4865"/>
    </row>
    <row r="4866" spans="1:20" ht="17.25" customHeight="1">
      <c r="A4866"/>
      <c r="B4866"/>
      <c r="P4866"/>
      <c r="R4866"/>
      <c r="S4866"/>
      <c r="T4866"/>
    </row>
    <row r="4867" spans="1:20" ht="17.25" customHeight="1">
      <c r="A4867"/>
      <c r="B4867"/>
      <c r="P4867"/>
      <c r="R4867"/>
      <c r="S4867"/>
      <c r="T4867"/>
    </row>
    <row r="4868" spans="1:20" ht="17.25" customHeight="1">
      <c r="A4868"/>
      <c r="B4868"/>
      <c r="P4868"/>
      <c r="R4868"/>
      <c r="S4868"/>
      <c r="T4868"/>
    </row>
    <row r="4869" spans="1:20" ht="17.25" customHeight="1">
      <c r="A4869"/>
      <c r="B4869"/>
      <c r="P4869"/>
      <c r="R4869"/>
      <c r="S4869"/>
      <c r="T4869"/>
    </row>
    <row r="4870" spans="1:20" ht="17.25" customHeight="1">
      <c r="A4870"/>
      <c r="B4870"/>
      <c r="P4870"/>
      <c r="R4870"/>
      <c r="S4870"/>
      <c r="T4870"/>
    </row>
    <row r="4871" spans="1:20" ht="17.25" customHeight="1">
      <c r="A4871"/>
      <c r="B4871"/>
      <c r="P4871"/>
      <c r="R4871"/>
      <c r="S4871"/>
      <c r="T4871"/>
    </row>
    <row r="4872" spans="1:20" ht="17.25" customHeight="1">
      <c r="A4872"/>
      <c r="B4872"/>
      <c r="P4872"/>
      <c r="R4872"/>
      <c r="S4872"/>
      <c r="T4872"/>
    </row>
    <row r="4873" spans="1:20" ht="17.25" customHeight="1">
      <c r="A4873"/>
      <c r="B4873"/>
      <c r="P4873"/>
      <c r="R4873"/>
      <c r="S4873"/>
      <c r="T4873"/>
    </row>
    <row r="4874" spans="1:20" ht="17.25" customHeight="1">
      <c r="A4874"/>
      <c r="B4874"/>
      <c r="P4874"/>
      <c r="R4874"/>
      <c r="S4874"/>
      <c r="T4874"/>
    </row>
    <row r="4875" spans="1:20" ht="17.25" customHeight="1">
      <c r="A4875"/>
      <c r="B4875"/>
      <c r="P4875"/>
      <c r="R4875"/>
      <c r="S4875"/>
      <c r="T4875"/>
    </row>
    <row r="4876" spans="1:20" ht="17.25" customHeight="1">
      <c r="A4876"/>
      <c r="B4876"/>
      <c r="P4876"/>
      <c r="R4876"/>
      <c r="S4876"/>
      <c r="T4876"/>
    </row>
    <row r="4877" spans="1:20" ht="17.25" customHeight="1">
      <c r="A4877"/>
      <c r="B4877"/>
      <c r="P4877"/>
      <c r="R4877"/>
      <c r="S4877"/>
      <c r="T4877"/>
    </row>
    <row r="4878" spans="1:20" ht="17.25" customHeight="1">
      <c r="A4878"/>
      <c r="B4878"/>
      <c r="P4878"/>
      <c r="R4878"/>
      <c r="S4878"/>
      <c r="T4878"/>
    </row>
    <row r="4879" spans="1:20" ht="17.25" customHeight="1">
      <c r="A4879"/>
      <c r="B4879"/>
      <c r="P4879"/>
      <c r="R4879"/>
      <c r="S4879"/>
      <c r="T4879"/>
    </row>
    <row r="4880" spans="1:20" ht="17.25" customHeight="1">
      <c r="A4880"/>
      <c r="B4880"/>
      <c r="P4880"/>
      <c r="R4880"/>
      <c r="S4880"/>
      <c r="T4880"/>
    </row>
    <row r="4881" spans="1:20" ht="17.25" customHeight="1">
      <c r="A4881"/>
      <c r="B4881"/>
      <c r="P4881"/>
      <c r="R4881"/>
      <c r="S4881"/>
      <c r="T4881"/>
    </row>
    <row r="4882" spans="1:20" ht="17.25" customHeight="1">
      <c r="A4882"/>
      <c r="B4882"/>
      <c r="P4882"/>
      <c r="R4882"/>
      <c r="S4882"/>
      <c r="T4882"/>
    </row>
    <row r="4883" spans="1:20" ht="17.25" customHeight="1">
      <c r="A4883"/>
      <c r="B4883"/>
      <c r="P4883"/>
      <c r="R4883"/>
      <c r="S4883"/>
      <c r="T4883"/>
    </row>
    <row r="4884" spans="1:20" ht="17.25" customHeight="1">
      <c r="A4884"/>
      <c r="B4884"/>
      <c r="P4884"/>
      <c r="R4884"/>
      <c r="S4884"/>
      <c r="T4884"/>
    </row>
    <row r="4885" spans="1:20" ht="17.25" customHeight="1">
      <c r="A4885"/>
      <c r="B4885"/>
      <c r="P4885"/>
      <c r="R4885"/>
      <c r="S4885"/>
      <c r="T4885"/>
    </row>
    <row r="4886" spans="1:20" ht="17.25" customHeight="1">
      <c r="A4886"/>
      <c r="B4886"/>
      <c r="P4886"/>
      <c r="R4886"/>
      <c r="S4886"/>
      <c r="T4886"/>
    </row>
    <row r="4887" spans="1:20" ht="17.25" customHeight="1">
      <c r="A4887"/>
      <c r="B4887"/>
      <c r="P4887"/>
      <c r="R4887"/>
      <c r="S4887"/>
      <c r="T4887"/>
    </row>
    <row r="4888" spans="1:20" ht="17.25" customHeight="1">
      <c r="A4888"/>
      <c r="B4888"/>
      <c r="P4888"/>
      <c r="R4888"/>
      <c r="S4888"/>
      <c r="T4888"/>
    </row>
    <row r="4889" spans="1:20" ht="17.25" customHeight="1">
      <c r="A4889"/>
      <c r="B4889"/>
      <c r="P4889"/>
      <c r="R4889"/>
      <c r="S4889"/>
      <c r="T4889"/>
    </row>
    <row r="4890" spans="1:20" ht="17.25" customHeight="1">
      <c r="A4890"/>
      <c r="B4890"/>
      <c r="P4890"/>
      <c r="R4890"/>
      <c r="S4890"/>
      <c r="T4890"/>
    </row>
    <row r="4891" spans="1:20" ht="17.25" customHeight="1">
      <c r="A4891"/>
      <c r="B4891"/>
      <c r="P4891"/>
      <c r="R4891"/>
      <c r="S4891"/>
      <c r="T4891"/>
    </row>
    <row r="4892" spans="1:20" ht="17.25" customHeight="1">
      <c r="A4892"/>
      <c r="B4892"/>
      <c r="P4892"/>
      <c r="R4892"/>
      <c r="S4892"/>
      <c r="T4892"/>
    </row>
    <row r="4893" spans="1:20" ht="17.25" customHeight="1">
      <c r="A4893"/>
      <c r="B4893"/>
      <c r="P4893"/>
      <c r="R4893"/>
      <c r="S4893"/>
      <c r="T4893"/>
    </row>
    <row r="4894" spans="1:20" ht="17.25" customHeight="1">
      <c r="A4894"/>
      <c r="B4894"/>
      <c r="P4894"/>
      <c r="R4894"/>
      <c r="S4894"/>
      <c r="T4894"/>
    </row>
    <row r="4895" spans="1:20" ht="17.25" customHeight="1">
      <c r="A4895"/>
      <c r="B4895"/>
      <c r="P4895"/>
      <c r="R4895"/>
      <c r="S4895"/>
      <c r="T4895"/>
    </row>
    <row r="4896" spans="1:20" ht="17.25" customHeight="1">
      <c r="A4896"/>
      <c r="B4896"/>
      <c r="P4896"/>
      <c r="R4896"/>
      <c r="S4896"/>
      <c r="T4896"/>
    </row>
    <row r="4897" spans="1:20" ht="17.25" customHeight="1">
      <c r="A4897"/>
      <c r="B4897"/>
      <c r="P4897"/>
      <c r="R4897"/>
      <c r="S4897"/>
      <c r="T4897"/>
    </row>
    <row r="4898" spans="1:20" ht="17.25" customHeight="1">
      <c r="A4898"/>
      <c r="B4898"/>
      <c r="P4898"/>
      <c r="R4898"/>
      <c r="S4898"/>
      <c r="T4898"/>
    </row>
    <row r="4899" spans="1:20" ht="17.25" customHeight="1">
      <c r="A4899"/>
      <c r="B4899"/>
      <c r="P4899"/>
      <c r="R4899"/>
      <c r="S4899"/>
      <c r="T4899"/>
    </row>
    <row r="4900" spans="1:20" ht="17.25" customHeight="1">
      <c r="A4900"/>
      <c r="B4900"/>
      <c r="P4900"/>
      <c r="R4900"/>
      <c r="S4900"/>
      <c r="T4900"/>
    </row>
    <row r="4901" spans="1:20" ht="17.25" customHeight="1">
      <c r="A4901"/>
      <c r="B4901"/>
      <c r="P4901"/>
      <c r="R4901"/>
      <c r="S4901"/>
      <c r="T4901"/>
    </row>
    <row r="4902" spans="1:20" ht="17.25" customHeight="1">
      <c r="A4902"/>
      <c r="B4902"/>
      <c r="P4902"/>
      <c r="R4902"/>
      <c r="S4902"/>
      <c r="T4902"/>
    </row>
    <row r="4903" spans="1:20" ht="17.25" customHeight="1">
      <c r="A4903"/>
      <c r="B4903"/>
      <c r="P4903"/>
      <c r="R4903"/>
      <c r="S4903"/>
      <c r="T4903"/>
    </row>
    <row r="4904" spans="1:20" ht="17.25" customHeight="1">
      <c r="A4904"/>
      <c r="B4904"/>
      <c r="P4904"/>
      <c r="R4904"/>
      <c r="S4904"/>
      <c r="T4904"/>
    </row>
    <row r="4905" spans="1:20" ht="17.25" customHeight="1">
      <c r="A4905"/>
      <c r="B4905"/>
      <c r="P4905"/>
      <c r="R4905"/>
      <c r="S4905"/>
      <c r="T4905"/>
    </row>
    <row r="4906" spans="1:20" ht="17.25" customHeight="1">
      <c r="A4906"/>
      <c r="B4906"/>
      <c r="P4906"/>
      <c r="R4906"/>
      <c r="S4906"/>
      <c r="T4906"/>
    </row>
    <row r="4907" spans="1:20" ht="17.25" customHeight="1">
      <c r="A4907"/>
      <c r="B4907"/>
      <c r="P4907"/>
      <c r="R4907"/>
      <c r="S4907"/>
      <c r="T4907"/>
    </row>
    <row r="4908" spans="1:20" ht="17.25" customHeight="1">
      <c r="A4908"/>
      <c r="B4908"/>
      <c r="P4908"/>
      <c r="R4908"/>
      <c r="S4908"/>
      <c r="T4908"/>
    </row>
    <row r="4909" spans="1:20" ht="17.25" customHeight="1">
      <c r="A4909"/>
      <c r="B4909"/>
      <c r="P4909"/>
      <c r="R4909"/>
      <c r="S4909"/>
      <c r="T4909"/>
    </row>
    <row r="4910" spans="1:20" ht="17.25" customHeight="1">
      <c r="A4910"/>
      <c r="B4910"/>
      <c r="P4910"/>
      <c r="R4910"/>
      <c r="S4910"/>
      <c r="T4910"/>
    </row>
    <row r="4911" spans="1:20" ht="17.25" customHeight="1">
      <c r="A4911"/>
      <c r="B4911"/>
      <c r="P4911"/>
      <c r="R4911"/>
      <c r="S4911"/>
      <c r="T4911"/>
    </row>
    <row r="4912" spans="1:20" ht="17.25" customHeight="1">
      <c r="A4912"/>
      <c r="B4912"/>
      <c r="P4912"/>
      <c r="R4912"/>
      <c r="S4912"/>
      <c r="T4912"/>
    </row>
    <row r="4913" spans="1:20" ht="17.25" customHeight="1">
      <c r="A4913"/>
      <c r="B4913"/>
      <c r="P4913"/>
      <c r="R4913"/>
      <c r="S4913"/>
      <c r="T4913"/>
    </row>
    <row r="4914" spans="1:20" ht="17.25" customHeight="1">
      <c r="A4914"/>
      <c r="B4914"/>
      <c r="P4914"/>
      <c r="R4914"/>
      <c r="S4914"/>
      <c r="T4914"/>
    </row>
    <row r="4915" spans="1:20" ht="17.25" customHeight="1">
      <c r="A4915"/>
      <c r="B4915"/>
      <c r="P4915"/>
      <c r="R4915"/>
      <c r="S4915"/>
      <c r="T4915"/>
    </row>
    <row r="4916" spans="1:20" ht="17.25" customHeight="1">
      <c r="A4916"/>
      <c r="B4916"/>
      <c r="P4916"/>
      <c r="R4916"/>
      <c r="S4916"/>
      <c r="T4916"/>
    </row>
    <row r="4917" spans="1:20" ht="17.25" customHeight="1">
      <c r="A4917"/>
      <c r="B4917"/>
      <c r="P4917"/>
      <c r="R4917"/>
      <c r="S4917"/>
      <c r="T4917"/>
    </row>
    <row r="4918" spans="1:20" ht="17.25" customHeight="1">
      <c r="A4918"/>
      <c r="B4918"/>
      <c r="P4918"/>
      <c r="R4918"/>
      <c r="S4918"/>
      <c r="T4918"/>
    </row>
    <row r="4919" spans="1:20" ht="17.25" customHeight="1">
      <c r="A4919"/>
      <c r="B4919"/>
      <c r="P4919"/>
      <c r="R4919"/>
      <c r="S4919"/>
      <c r="T4919"/>
    </row>
    <row r="4920" spans="1:20" ht="17.25" customHeight="1">
      <c r="A4920"/>
      <c r="B4920"/>
      <c r="P4920"/>
      <c r="R4920"/>
      <c r="S4920"/>
      <c r="T4920"/>
    </row>
    <row r="4921" spans="1:20" ht="17.25" customHeight="1">
      <c r="A4921"/>
      <c r="B4921"/>
      <c r="P4921"/>
      <c r="R4921"/>
      <c r="S4921"/>
      <c r="T4921"/>
    </row>
    <row r="4922" spans="1:20" ht="17.25" customHeight="1">
      <c r="A4922"/>
      <c r="B4922"/>
      <c r="P4922"/>
      <c r="R4922"/>
      <c r="S4922"/>
      <c r="T4922"/>
    </row>
    <row r="4923" spans="1:20" ht="17.25" customHeight="1">
      <c r="A4923"/>
      <c r="B4923"/>
      <c r="P4923"/>
      <c r="R4923"/>
      <c r="S4923"/>
      <c r="T4923"/>
    </row>
    <row r="4924" spans="1:20" ht="17.25" customHeight="1">
      <c r="A4924"/>
      <c r="B4924"/>
      <c r="P4924"/>
      <c r="R4924"/>
      <c r="S4924"/>
      <c r="T4924"/>
    </row>
    <row r="4925" spans="1:20" ht="17.25" customHeight="1">
      <c r="A4925"/>
      <c r="B4925"/>
      <c r="P4925"/>
      <c r="R4925"/>
      <c r="S4925"/>
      <c r="T4925"/>
    </row>
    <row r="4926" spans="1:20" ht="17.25" customHeight="1">
      <c r="A4926"/>
      <c r="B4926"/>
      <c r="P4926"/>
      <c r="R4926"/>
      <c r="S4926"/>
      <c r="T4926"/>
    </row>
    <row r="4927" spans="1:20" ht="17.25" customHeight="1">
      <c r="A4927"/>
      <c r="B4927"/>
      <c r="P4927"/>
      <c r="R4927"/>
      <c r="S4927"/>
      <c r="T4927"/>
    </row>
    <row r="4928" spans="1:20" ht="17.25" customHeight="1">
      <c r="A4928"/>
      <c r="B4928"/>
      <c r="P4928"/>
      <c r="R4928"/>
      <c r="S4928"/>
      <c r="T4928"/>
    </row>
    <row r="4929" spans="1:20" ht="17.25" customHeight="1">
      <c r="A4929"/>
      <c r="B4929"/>
      <c r="P4929"/>
      <c r="R4929"/>
      <c r="S4929"/>
      <c r="T4929"/>
    </row>
    <row r="4930" spans="1:20" ht="17.25" customHeight="1">
      <c r="A4930"/>
      <c r="B4930"/>
      <c r="P4930"/>
      <c r="R4930"/>
      <c r="S4930"/>
      <c r="T4930"/>
    </row>
    <row r="4931" spans="1:20" ht="17.25" customHeight="1">
      <c r="A4931"/>
      <c r="B4931"/>
      <c r="P4931"/>
      <c r="R4931"/>
      <c r="S4931"/>
      <c r="T4931"/>
    </row>
    <row r="4932" spans="1:20" ht="17.25" customHeight="1">
      <c r="A4932"/>
      <c r="B4932"/>
      <c r="P4932"/>
      <c r="R4932"/>
      <c r="S4932"/>
      <c r="T4932"/>
    </row>
    <row r="4933" spans="1:20" ht="17.25" customHeight="1">
      <c r="A4933"/>
      <c r="B4933"/>
      <c r="P4933"/>
      <c r="R4933"/>
      <c r="S4933"/>
      <c r="T4933"/>
    </row>
    <row r="4934" spans="1:20" ht="17.25" customHeight="1">
      <c r="A4934"/>
      <c r="B4934"/>
      <c r="P4934"/>
      <c r="R4934"/>
      <c r="S4934"/>
      <c r="T4934"/>
    </row>
    <row r="4935" spans="1:20" ht="17.25" customHeight="1">
      <c r="A4935"/>
      <c r="B4935"/>
      <c r="P4935"/>
      <c r="R4935"/>
      <c r="S4935"/>
      <c r="T4935"/>
    </row>
    <row r="4936" spans="1:20" ht="17.25" customHeight="1">
      <c r="A4936"/>
      <c r="B4936"/>
      <c r="P4936"/>
      <c r="R4936"/>
      <c r="S4936"/>
      <c r="T4936"/>
    </row>
    <row r="4937" spans="1:20" ht="17.25" customHeight="1">
      <c r="A4937"/>
      <c r="B4937"/>
      <c r="P4937"/>
      <c r="R4937"/>
      <c r="S4937"/>
      <c r="T4937"/>
    </row>
    <row r="4938" spans="1:20" ht="17.25" customHeight="1">
      <c r="A4938"/>
      <c r="B4938"/>
      <c r="P4938"/>
      <c r="R4938"/>
      <c r="S4938"/>
      <c r="T4938"/>
    </row>
    <row r="4939" spans="1:20" ht="17.25" customHeight="1">
      <c r="A4939"/>
      <c r="B4939"/>
      <c r="P4939"/>
      <c r="R4939"/>
      <c r="S4939"/>
      <c r="T4939"/>
    </row>
    <row r="4940" spans="1:20" ht="17.25" customHeight="1">
      <c r="A4940"/>
      <c r="B4940"/>
      <c r="P4940"/>
      <c r="R4940"/>
      <c r="S4940"/>
      <c r="T4940"/>
    </row>
    <row r="4941" spans="1:20" ht="17.25" customHeight="1">
      <c r="A4941"/>
      <c r="B4941"/>
      <c r="P4941"/>
      <c r="R4941"/>
      <c r="S4941"/>
      <c r="T4941"/>
    </row>
    <row r="4942" spans="1:20" ht="17.25" customHeight="1">
      <c r="A4942"/>
      <c r="B4942"/>
      <c r="P4942"/>
      <c r="R4942"/>
      <c r="S4942"/>
      <c r="T4942"/>
    </row>
    <row r="4943" spans="1:20" ht="17.25" customHeight="1">
      <c r="A4943"/>
      <c r="B4943"/>
      <c r="P4943"/>
      <c r="R4943"/>
      <c r="S4943"/>
      <c r="T4943"/>
    </row>
    <row r="4944" spans="1:20" ht="17.25" customHeight="1">
      <c r="A4944"/>
      <c r="B4944"/>
      <c r="P4944"/>
      <c r="R4944"/>
      <c r="S4944"/>
      <c r="T4944"/>
    </row>
    <row r="4945" spans="1:20" ht="17.25" customHeight="1">
      <c r="A4945"/>
      <c r="B4945"/>
      <c r="P4945"/>
      <c r="R4945"/>
      <c r="S4945"/>
      <c r="T4945"/>
    </row>
    <row r="4946" spans="1:20" ht="17.25" customHeight="1">
      <c r="A4946"/>
      <c r="B4946"/>
      <c r="P4946"/>
      <c r="R4946"/>
      <c r="S4946"/>
      <c r="T4946"/>
    </row>
    <row r="4947" spans="1:20" ht="17.25" customHeight="1">
      <c r="A4947"/>
      <c r="B4947"/>
      <c r="P4947"/>
      <c r="R4947"/>
      <c r="S4947"/>
      <c r="T4947"/>
    </row>
    <row r="4948" spans="1:20" ht="17.25" customHeight="1">
      <c r="A4948"/>
      <c r="B4948"/>
      <c r="P4948"/>
      <c r="R4948"/>
      <c r="S4948"/>
      <c r="T4948"/>
    </row>
    <row r="4949" spans="1:20" ht="17.25" customHeight="1">
      <c r="A4949"/>
      <c r="B4949"/>
      <c r="P4949"/>
      <c r="R4949"/>
      <c r="S4949"/>
      <c r="T4949"/>
    </row>
    <row r="4950" spans="1:20" ht="17.25" customHeight="1">
      <c r="A4950"/>
      <c r="B4950"/>
      <c r="P4950"/>
      <c r="R4950"/>
      <c r="S4950"/>
      <c r="T4950"/>
    </row>
    <row r="4951" spans="1:20" ht="17.25" customHeight="1">
      <c r="A4951"/>
      <c r="B4951"/>
      <c r="P4951"/>
      <c r="R4951"/>
      <c r="S4951"/>
      <c r="T4951"/>
    </row>
    <row r="4952" spans="1:20" ht="17.25" customHeight="1">
      <c r="A4952"/>
      <c r="B4952"/>
      <c r="P4952"/>
      <c r="R4952"/>
      <c r="S4952"/>
      <c r="T4952"/>
    </row>
    <row r="4953" spans="1:20" ht="17.25" customHeight="1">
      <c r="A4953"/>
      <c r="B4953"/>
      <c r="P4953"/>
      <c r="R4953"/>
      <c r="S4953"/>
      <c r="T4953"/>
    </row>
    <row r="4954" spans="1:20" ht="17.25" customHeight="1">
      <c r="A4954"/>
      <c r="B4954"/>
      <c r="P4954"/>
      <c r="R4954"/>
      <c r="S4954"/>
      <c r="T4954"/>
    </row>
    <row r="4955" spans="1:20" ht="17.25" customHeight="1">
      <c r="A4955"/>
      <c r="B4955"/>
      <c r="P4955"/>
      <c r="R4955"/>
      <c r="S4955"/>
      <c r="T4955"/>
    </row>
    <row r="4956" spans="1:20" ht="17.25" customHeight="1">
      <c r="A4956"/>
      <c r="B4956"/>
      <c r="P4956"/>
      <c r="R4956"/>
      <c r="S4956"/>
      <c r="T4956"/>
    </row>
    <row r="4957" spans="1:20" ht="17.25" customHeight="1">
      <c r="A4957"/>
      <c r="B4957"/>
      <c r="P4957"/>
      <c r="R4957"/>
      <c r="S4957"/>
      <c r="T4957"/>
    </row>
    <row r="4958" spans="1:20" ht="17.25" customHeight="1">
      <c r="A4958"/>
      <c r="B4958"/>
      <c r="P4958"/>
      <c r="R4958"/>
      <c r="S4958"/>
      <c r="T4958"/>
    </row>
    <row r="4959" spans="1:20" ht="17.25" customHeight="1">
      <c r="A4959"/>
      <c r="B4959"/>
      <c r="P4959"/>
      <c r="R4959"/>
      <c r="S4959"/>
      <c r="T4959"/>
    </row>
    <row r="4960" spans="1:20" ht="17.25" customHeight="1">
      <c r="A4960"/>
      <c r="B4960"/>
      <c r="P4960"/>
      <c r="R4960"/>
      <c r="S4960"/>
      <c r="T4960"/>
    </row>
    <row r="4961" spans="1:20" ht="17.25" customHeight="1">
      <c r="A4961"/>
      <c r="B4961"/>
      <c r="P4961"/>
      <c r="R4961"/>
      <c r="S4961"/>
      <c r="T4961"/>
    </row>
    <row r="4962" spans="1:20" ht="17.25" customHeight="1">
      <c r="A4962"/>
      <c r="B4962"/>
      <c r="P4962"/>
      <c r="R4962"/>
      <c r="S4962"/>
      <c r="T4962"/>
    </row>
    <row r="4963" spans="1:20" ht="17.25" customHeight="1">
      <c r="A4963"/>
      <c r="B4963"/>
      <c r="P4963"/>
      <c r="R4963"/>
      <c r="S4963"/>
      <c r="T4963"/>
    </row>
    <row r="4964" spans="1:20" ht="17.25" customHeight="1">
      <c r="A4964"/>
      <c r="B4964"/>
      <c r="P4964"/>
      <c r="R4964"/>
      <c r="S4964"/>
      <c r="T4964"/>
    </row>
    <row r="4965" spans="1:20" ht="17.25" customHeight="1">
      <c r="A4965"/>
      <c r="B4965"/>
      <c r="P4965"/>
      <c r="R4965"/>
      <c r="S4965"/>
      <c r="T4965"/>
    </row>
    <row r="4966" spans="1:20" ht="17.25" customHeight="1">
      <c r="A4966"/>
      <c r="B4966"/>
      <c r="P4966"/>
      <c r="R4966"/>
      <c r="S4966"/>
      <c r="T4966"/>
    </row>
    <row r="4967" spans="1:20" ht="17.25" customHeight="1">
      <c r="A4967"/>
      <c r="B4967"/>
      <c r="P4967"/>
      <c r="R4967"/>
      <c r="S4967"/>
      <c r="T4967"/>
    </row>
    <row r="4968" spans="1:20" ht="17.25" customHeight="1">
      <c r="A4968"/>
      <c r="B4968"/>
      <c r="P4968"/>
      <c r="R4968"/>
      <c r="S4968"/>
      <c r="T4968"/>
    </row>
    <row r="4969" spans="1:20" ht="17.25" customHeight="1">
      <c r="A4969"/>
      <c r="B4969"/>
      <c r="P4969"/>
      <c r="R4969"/>
      <c r="S4969"/>
      <c r="T4969"/>
    </row>
    <row r="4970" spans="1:20" ht="17.25" customHeight="1">
      <c r="A4970"/>
      <c r="B4970"/>
      <c r="P4970"/>
      <c r="R4970"/>
      <c r="S4970"/>
      <c r="T4970"/>
    </row>
    <row r="4971" spans="1:20" ht="17.25" customHeight="1">
      <c r="A4971"/>
      <c r="B4971"/>
      <c r="P4971"/>
      <c r="R4971"/>
      <c r="S4971"/>
      <c r="T4971"/>
    </row>
    <row r="4972" spans="1:20" ht="17.25" customHeight="1">
      <c r="A4972"/>
      <c r="B4972"/>
      <c r="P4972"/>
      <c r="R4972"/>
      <c r="S4972"/>
      <c r="T4972"/>
    </row>
    <row r="4973" spans="1:20" ht="17.25" customHeight="1">
      <c r="A4973"/>
      <c r="B4973"/>
      <c r="P4973"/>
      <c r="R4973"/>
      <c r="S4973"/>
      <c r="T4973"/>
    </row>
    <row r="4974" spans="1:20" ht="17.25" customHeight="1">
      <c r="A4974"/>
      <c r="B4974"/>
      <c r="P4974"/>
      <c r="R4974"/>
      <c r="S4974"/>
      <c r="T4974"/>
    </row>
    <row r="4975" spans="1:20" ht="17.25" customHeight="1">
      <c r="A4975"/>
      <c r="B4975"/>
      <c r="P4975"/>
      <c r="R4975"/>
      <c r="S4975"/>
      <c r="T4975"/>
    </row>
    <row r="4976" spans="1:20" ht="17.25" customHeight="1">
      <c r="A4976"/>
      <c r="B4976"/>
      <c r="P4976"/>
      <c r="R4976"/>
      <c r="S4976"/>
      <c r="T4976"/>
    </row>
    <row r="4977" spans="1:20" ht="17.25" customHeight="1">
      <c r="A4977"/>
      <c r="B4977"/>
      <c r="P4977"/>
      <c r="R4977"/>
      <c r="S4977"/>
      <c r="T4977"/>
    </row>
    <row r="4978" spans="1:20" ht="17.25" customHeight="1">
      <c r="A4978"/>
      <c r="B4978"/>
      <c r="P4978"/>
      <c r="R4978"/>
      <c r="S4978"/>
      <c r="T4978"/>
    </row>
    <row r="4979" spans="1:20" ht="17.25" customHeight="1">
      <c r="A4979"/>
      <c r="B4979"/>
      <c r="P4979"/>
      <c r="R4979"/>
      <c r="S4979"/>
      <c r="T4979"/>
    </row>
    <row r="4980" spans="1:20" ht="17.25" customHeight="1">
      <c r="A4980"/>
      <c r="B4980"/>
      <c r="P4980"/>
      <c r="R4980"/>
      <c r="S4980"/>
      <c r="T4980"/>
    </row>
    <row r="4981" spans="1:20" ht="17.25" customHeight="1">
      <c r="A4981"/>
      <c r="B4981"/>
      <c r="P4981"/>
      <c r="R4981"/>
      <c r="S4981"/>
      <c r="T4981"/>
    </row>
    <row r="4982" spans="1:20" ht="17.25" customHeight="1">
      <c r="A4982"/>
      <c r="B4982"/>
      <c r="P4982"/>
      <c r="R4982"/>
      <c r="S4982"/>
      <c r="T4982"/>
    </row>
    <row r="4983" spans="1:20" ht="17.25" customHeight="1">
      <c r="A4983"/>
      <c r="B4983"/>
      <c r="P4983"/>
      <c r="R4983"/>
      <c r="S4983"/>
      <c r="T4983"/>
    </row>
    <row r="4984" spans="1:20" ht="17.25" customHeight="1">
      <c r="A4984"/>
      <c r="B4984"/>
      <c r="P4984"/>
      <c r="R4984"/>
      <c r="S4984"/>
      <c r="T4984"/>
    </row>
    <row r="4985" spans="1:20" ht="17.25" customHeight="1">
      <c r="A4985"/>
      <c r="B4985"/>
      <c r="P4985"/>
      <c r="R4985"/>
      <c r="S4985"/>
      <c r="T4985"/>
    </row>
    <row r="4986" spans="1:20" ht="17.25" customHeight="1">
      <c r="A4986"/>
      <c r="B4986"/>
      <c r="P4986"/>
      <c r="R4986"/>
      <c r="S4986"/>
      <c r="T4986"/>
    </row>
    <row r="4987" spans="1:20" ht="17.25" customHeight="1">
      <c r="A4987"/>
      <c r="B4987"/>
      <c r="P4987"/>
      <c r="R4987"/>
      <c r="S4987"/>
      <c r="T4987"/>
    </row>
    <row r="4988" spans="1:20" ht="17.25" customHeight="1">
      <c r="A4988"/>
      <c r="B4988"/>
      <c r="P4988"/>
      <c r="R4988"/>
      <c r="S4988"/>
      <c r="T4988"/>
    </row>
    <row r="4989" spans="1:20" ht="17.25" customHeight="1">
      <c r="A4989"/>
      <c r="B4989"/>
      <c r="P4989"/>
      <c r="R4989"/>
      <c r="S4989"/>
      <c r="T4989"/>
    </row>
    <row r="4990" spans="1:20" ht="17.25" customHeight="1">
      <c r="A4990"/>
      <c r="B4990"/>
      <c r="P4990"/>
      <c r="R4990"/>
      <c r="S4990"/>
      <c r="T4990"/>
    </row>
    <row r="4991" spans="1:20" ht="17.25" customHeight="1">
      <c r="A4991"/>
      <c r="B4991"/>
      <c r="P4991"/>
      <c r="R4991"/>
      <c r="S4991"/>
      <c r="T4991"/>
    </row>
    <row r="4992" spans="1:20" ht="17.25" customHeight="1">
      <c r="A4992"/>
      <c r="B4992"/>
      <c r="P4992"/>
      <c r="R4992"/>
      <c r="S4992"/>
      <c r="T4992"/>
    </row>
    <row r="4993" spans="1:20" ht="17.25" customHeight="1">
      <c r="A4993"/>
      <c r="B4993"/>
      <c r="P4993"/>
      <c r="R4993"/>
      <c r="S4993"/>
      <c r="T4993"/>
    </row>
    <row r="4994" spans="1:20" ht="17.25" customHeight="1">
      <c r="A4994"/>
      <c r="B4994"/>
      <c r="P4994"/>
      <c r="R4994"/>
      <c r="S4994"/>
      <c r="T4994"/>
    </row>
    <row r="4995" spans="1:20" ht="17.25" customHeight="1">
      <c r="A4995"/>
      <c r="B4995"/>
      <c r="P4995"/>
      <c r="R4995"/>
      <c r="S4995"/>
      <c r="T4995"/>
    </row>
    <row r="4996" spans="1:20" ht="17.25" customHeight="1">
      <c r="A4996"/>
      <c r="B4996"/>
      <c r="P4996"/>
      <c r="R4996"/>
      <c r="S4996"/>
      <c r="T4996"/>
    </row>
    <row r="4997" spans="1:20" ht="17.25" customHeight="1">
      <c r="A4997"/>
      <c r="B4997"/>
      <c r="P4997"/>
      <c r="R4997"/>
      <c r="S4997"/>
      <c r="T4997"/>
    </row>
    <row r="4998" spans="1:20" ht="17.25" customHeight="1">
      <c r="A4998"/>
      <c r="B4998"/>
      <c r="P4998"/>
      <c r="R4998"/>
      <c r="S4998"/>
      <c r="T4998"/>
    </row>
    <row r="4999" spans="1:20" ht="17.25" customHeight="1">
      <c r="A4999"/>
      <c r="B4999"/>
      <c r="P4999"/>
      <c r="R4999"/>
      <c r="S4999"/>
      <c r="T4999"/>
    </row>
    <row r="5000" spans="1:20" ht="17.25" customHeight="1">
      <c r="A5000"/>
      <c r="B5000"/>
      <c r="P5000"/>
      <c r="R5000"/>
      <c r="S5000"/>
      <c r="T5000"/>
    </row>
    <row r="5001" spans="1:20" ht="17.25" customHeight="1">
      <c r="A5001"/>
      <c r="B5001"/>
      <c r="P5001"/>
      <c r="R5001"/>
      <c r="S5001"/>
      <c r="T5001"/>
    </row>
    <row r="5002" spans="1:20" ht="17.25" customHeight="1">
      <c r="A5002"/>
      <c r="B5002"/>
      <c r="P5002"/>
      <c r="R5002"/>
      <c r="S5002"/>
      <c r="T5002"/>
    </row>
    <row r="5003" spans="1:20" ht="17.25" customHeight="1">
      <c r="A5003"/>
      <c r="B5003"/>
      <c r="P5003"/>
      <c r="R5003"/>
      <c r="S5003"/>
      <c r="T5003"/>
    </row>
    <row r="5004" spans="1:20" ht="17.25" customHeight="1">
      <c r="A5004"/>
      <c r="B5004"/>
      <c r="P5004"/>
      <c r="R5004"/>
      <c r="S5004"/>
      <c r="T5004"/>
    </row>
    <row r="5005" spans="1:20" ht="17.25" customHeight="1">
      <c r="A5005"/>
      <c r="B5005"/>
      <c r="P5005"/>
      <c r="R5005"/>
      <c r="S5005"/>
      <c r="T5005"/>
    </row>
    <row r="5006" spans="1:20" ht="17.25" customHeight="1">
      <c r="A5006"/>
      <c r="B5006"/>
      <c r="P5006"/>
      <c r="R5006"/>
      <c r="S5006"/>
      <c r="T5006"/>
    </row>
    <row r="5007" spans="1:20" ht="17.25" customHeight="1">
      <c r="A5007"/>
      <c r="B5007"/>
      <c r="P5007"/>
      <c r="R5007"/>
      <c r="S5007"/>
      <c r="T5007"/>
    </row>
    <row r="5008" spans="1:20" ht="17.25" customHeight="1">
      <c r="A5008"/>
      <c r="B5008"/>
      <c r="P5008"/>
      <c r="R5008"/>
      <c r="S5008"/>
      <c r="T5008"/>
    </row>
    <row r="5009" spans="1:20" ht="17.25" customHeight="1">
      <c r="A5009"/>
      <c r="B5009"/>
      <c r="P5009"/>
      <c r="R5009"/>
      <c r="S5009"/>
      <c r="T5009"/>
    </row>
    <row r="5010" spans="1:20" ht="17.25" customHeight="1">
      <c r="A5010"/>
      <c r="B5010"/>
      <c r="P5010"/>
      <c r="R5010"/>
      <c r="S5010"/>
      <c r="T5010"/>
    </row>
    <row r="5011" spans="1:20" ht="17.25" customHeight="1">
      <c r="A5011"/>
      <c r="B5011"/>
      <c r="P5011"/>
      <c r="R5011"/>
      <c r="S5011"/>
      <c r="T5011"/>
    </row>
    <row r="5012" spans="1:20" ht="17.25" customHeight="1">
      <c r="A5012"/>
      <c r="B5012"/>
      <c r="P5012"/>
      <c r="R5012"/>
      <c r="S5012"/>
      <c r="T5012"/>
    </row>
    <row r="5013" spans="1:20" ht="17.25" customHeight="1">
      <c r="A5013"/>
      <c r="B5013"/>
      <c r="P5013"/>
      <c r="R5013"/>
      <c r="S5013"/>
      <c r="T5013"/>
    </row>
    <row r="5014" spans="1:20" ht="17.25" customHeight="1">
      <c r="A5014"/>
      <c r="B5014"/>
      <c r="P5014"/>
      <c r="R5014"/>
      <c r="S5014"/>
      <c r="T5014"/>
    </row>
    <row r="5015" spans="1:20" ht="17.25" customHeight="1">
      <c r="A5015"/>
      <c r="B5015"/>
      <c r="P5015"/>
      <c r="R5015"/>
      <c r="S5015"/>
      <c r="T5015"/>
    </row>
    <row r="5016" spans="1:20" ht="17.25" customHeight="1">
      <c r="A5016"/>
      <c r="B5016"/>
      <c r="P5016"/>
      <c r="R5016"/>
      <c r="S5016"/>
      <c r="T5016"/>
    </row>
    <row r="5017" spans="1:20" ht="17.25" customHeight="1">
      <c r="A5017"/>
      <c r="B5017"/>
      <c r="P5017"/>
      <c r="R5017"/>
      <c r="S5017"/>
      <c r="T5017"/>
    </row>
    <row r="5018" spans="1:20" ht="17.25" customHeight="1">
      <c r="A5018"/>
      <c r="B5018"/>
      <c r="P5018"/>
      <c r="R5018"/>
      <c r="S5018"/>
      <c r="T5018"/>
    </row>
    <row r="5019" spans="1:20" ht="17.25" customHeight="1">
      <c r="A5019"/>
      <c r="B5019"/>
      <c r="P5019"/>
      <c r="R5019"/>
      <c r="S5019"/>
      <c r="T5019"/>
    </row>
    <row r="5020" spans="1:20" ht="17.25" customHeight="1">
      <c r="A5020"/>
      <c r="B5020"/>
      <c r="P5020"/>
      <c r="R5020"/>
      <c r="S5020"/>
      <c r="T5020"/>
    </row>
    <row r="5021" spans="1:20" ht="17.25" customHeight="1">
      <c r="A5021"/>
      <c r="B5021"/>
      <c r="P5021"/>
      <c r="R5021"/>
      <c r="S5021"/>
      <c r="T5021"/>
    </row>
    <row r="5022" spans="1:20" ht="17.25" customHeight="1">
      <c r="A5022"/>
      <c r="B5022"/>
      <c r="P5022"/>
      <c r="R5022"/>
      <c r="S5022"/>
      <c r="T5022"/>
    </row>
    <row r="5023" spans="1:20" ht="17.25" customHeight="1">
      <c r="A5023"/>
      <c r="B5023"/>
      <c r="P5023"/>
      <c r="R5023"/>
      <c r="S5023"/>
      <c r="T5023"/>
    </row>
    <row r="5024" spans="1:20" ht="17.25" customHeight="1">
      <c r="A5024"/>
      <c r="B5024"/>
      <c r="P5024"/>
      <c r="R5024"/>
      <c r="S5024"/>
      <c r="T5024"/>
    </row>
    <row r="5025" spans="1:20" ht="17.25" customHeight="1">
      <c r="A5025"/>
      <c r="B5025"/>
      <c r="P5025"/>
      <c r="R5025"/>
      <c r="S5025"/>
      <c r="T5025"/>
    </row>
    <row r="5026" spans="1:20" ht="17.25" customHeight="1">
      <c r="A5026"/>
      <c r="B5026"/>
      <c r="P5026"/>
      <c r="R5026"/>
      <c r="S5026"/>
      <c r="T5026"/>
    </row>
    <row r="5027" spans="1:20" ht="17.25" customHeight="1">
      <c r="A5027"/>
      <c r="B5027"/>
      <c r="P5027"/>
      <c r="R5027"/>
      <c r="S5027"/>
      <c r="T5027"/>
    </row>
    <row r="5028" spans="1:20" ht="17.25" customHeight="1">
      <c r="A5028"/>
      <c r="B5028"/>
      <c r="P5028"/>
      <c r="R5028"/>
      <c r="S5028"/>
      <c r="T5028"/>
    </row>
    <row r="5029" spans="1:20" ht="17.25" customHeight="1">
      <c r="A5029"/>
      <c r="B5029"/>
      <c r="P5029"/>
      <c r="R5029"/>
      <c r="S5029"/>
      <c r="T5029"/>
    </row>
    <row r="5030" spans="1:20" ht="17.25" customHeight="1">
      <c r="A5030"/>
      <c r="B5030"/>
      <c r="P5030"/>
      <c r="R5030"/>
      <c r="S5030"/>
      <c r="T5030"/>
    </row>
    <row r="5031" spans="1:20" ht="17.25" customHeight="1">
      <c r="A5031"/>
      <c r="B5031"/>
      <c r="P5031"/>
      <c r="R5031"/>
      <c r="S5031"/>
      <c r="T5031"/>
    </row>
    <row r="5032" spans="1:20" ht="17.25" customHeight="1">
      <c r="A5032"/>
      <c r="B5032"/>
      <c r="P5032"/>
      <c r="R5032"/>
      <c r="S5032"/>
      <c r="T5032"/>
    </row>
    <row r="5033" spans="1:20" ht="17.25" customHeight="1">
      <c r="A5033"/>
      <c r="B5033"/>
      <c r="P5033"/>
      <c r="R5033"/>
      <c r="S5033"/>
      <c r="T5033"/>
    </row>
    <row r="5034" spans="1:20" ht="17.25" customHeight="1">
      <c r="A5034"/>
      <c r="B5034"/>
      <c r="P5034"/>
      <c r="R5034"/>
      <c r="S5034"/>
      <c r="T5034"/>
    </row>
    <row r="5035" spans="1:20" ht="17.25" customHeight="1">
      <c r="A5035"/>
      <c r="B5035"/>
      <c r="P5035"/>
      <c r="R5035"/>
      <c r="S5035"/>
      <c r="T5035"/>
    </row>
    <row r="5036" spans="1:20" ht="17.25" customHeight="1">
      <c r="A5036"/>
      <c r="B5036"/>
      <c r="P5036"/>
      <c r="R5036"/>
      <c r="S5036"/>
      <c r="T5036"/>
    </row>
    <row r="5037" spans="1:20" ht="17.25" customHeight="1">
      <c r="A5037"/>
      <c r="B5037"/>
      <c r="P5037"/>
      <c r="R5037"/>
      <c r="S5037"/>
      <c r="T5037"/>
    </row>
    <row r="5038" spans="1:20" ht="17.25" customHeight="1">
      <c r="A5038"/>
      <c r="B5038"/>
      <c r="P5038"/>
      <c r="R5038"/>
      <c r="S5038"/>
      <c r="T5038"/>
    </row>
    <row r="5039" spans="1:20" ht="17.25" customHeight="1">
      <c r="A5039"/>
      <c r="B5039"/>
      <c r="P5039"/>
      <c r="R5039"/>
      <c r="S5039"/>
      <c r="T5039"/>
    </row>
    <row r="5040" spans="1:20" ht="17.25" customHeight="1">
      <c r="A5040"/>
      <c r="B5040"/>
      <c r="P5040"/>
      <c r="R5040"/>
      <c r="S5040"/>
      <c r="T5040"/>
    </row>
    <row r="5041" spans="1:20" ht="17.25" customHeight="1">
      <c r="A5041"/>
      <c r="B5041"/>
      <c r="P5041"/>
      <c r="R5041"/>
      <c r="S5041"/>
      <c r="T5041"/>
    </row>
    <row r="5042" spans="1:20" ht="17.25" customHeight="1">
      <c r="A5042"/>
      <c r="B5042"/>
      <c r="P5042"/>
      <c r="R5042"/>
      <c r="S5042"/>
      <c r="T5042"/>
    </row>
    <row r="5043" spans="1:20" ht="17.25" customHeight="1">
      <c r="A5043"/>
      <c r="B5043"/>
      <c r="P5043"/>
      <c r="R5043"/>
      <c r="S5043"/>
      <c r="T5043"/>
    </row>
    <row r="5044" spans="1:20" ht="17.25" customHeight="1">
      <c r="A5044"/>
      <c r="B5044"/>
      <c r="P5044"/>
      <c r="R5044"/>
      <c r="S5044"/>
      <c r="T5044"/>
    </row>
    <row r="5045" spans="1:20" ht="17.25" customHeight="1">
      <c r="A5045"/>
      <c r="B5045"/>
      <c r="P5045"/>
      <c r="R5045"/>
      <c r="S5045"/>
      <c r="T5045"/>
    </row>
    <row r="5046" spans="1:20" ht="17.25" customHeight="1">
      <c r="A5046"/>
      <c r="B5046"/>
      <c r="P5046"/>
      <c r="R5046"/>
      <c r="S5046"/>
      <c r="T5046"/>
    </row>
    <row r="5047" spans="1:20" ht="17.25" customHeight="1">
      <c r="A5047"/>
      <c r="B5047"/>
      <c r="P5047"/>
      <c r="R5047"/>
      <c r="S5047"/>
      <c r="T5047"/>
    </row>
    <row r="5048" spans="1:20" ht="17.25" customHeight="1">
      <c r="A5048"/>
      <c r="B5048"/>
      <c r="P5048"/>
      <c r="R5048"/>
      <c r="S5048"/>
      <c r="T5048"/>
    </row>
    <row r="5049" spans="1:20" ht="17.25" customHeight="1">
      <c r="A5049"/>
      <c r="B5049"/>
      <c r="P5049"/>
      <c r="R5049"/>
      <c r="S5049"/>
      <c r="T5049"/>
    </row>
    <row r="5050" spans="1:20" ht="17.25" customHeight="1">
      <c r="A5050"/>
      <c r="B5050"/>
      <c r="P5050"/>
      <c r="R5050"/>
      <c r="S5050"/>
      <c r="T5050"/>
    </row>
    <row r="5051" spans="1:20" ht="17.25" customHeight="1">
      <c r="A5051"/>
      <c r="B5051"/>
      <c r="P5051"/>
      <c r="R5051"/>
      <c r="S5051"/>
      <c r="T5051"/>
    </row>
    <row r="5052" spans="1:20" ht="17.25" customHeight="1">
      <c r="A5052"/>
      <c r="B5052"/>
      <c r="P5052"/>
      <c r="R5052"/>
      <c r="S5052"/>
      <c r="T5052"/>
    </row>
    <row r="5053" spans="1:20" ht="17.25" customHeight="1">
      <c r="A5053"/>
      <c r="B5053"/>
      <c r="P5053"/>
      <c r="R5053"/>
      <c r="S5053"/>
      <c r="T5053"/>
    </row>
    <row r="5054" spans="1:20" ht="17.25" customHeight="1">
      <c r="A5054"/>
      <c r="B5054"/>
      <c r="P5054"/>
      <c r="R5054"/>
      <c r="S5054"/>
      <c r="T5054"/>
    </row>
    <row r="5055" spans="1:20" ht="17.25" customHeight="1">
      <c r="A5055"/>
      <c r="B5055"/>
      <c r="P5055"/>
      <c r="R5055"/>
      <c r="S5055"/>
      <c r="T5055"/>
    </row>
    <row r="5056" spans="1:20" ht="17.25" customHeight="1">
      <c r="A5056"/>
      <c r="B5056"/>
      <c r="P5056"/>
      <c r="R5056"/>
      <c r="S5056"/>
      <c r="T5056"/>
    </row>
    <row r="5057" spans="1:20" ht="17.25" customHeight="1">
      <c r="A5057"/>
      <c r="B5057"/>
      <c r="P5057"/>
      <c r="R5057"/>
      <c r="S5057"/>
      <c r="T5057"/>
    </row>
    <row r="5058" spans="1:20" ht="17.25" customHeight="1">
      <c r="A5058"/>
      <c r="B5058"/>
      <c r="P5058"/>
      <c r="R5058"/>
      <c r="S5058"/>
      <c r="T5058"/>
    </row>
    <row r="5059" spans="1:20" ht="17.25" customHeight="1">
      <c r="A5059"/>
      <c r="B5059"/>
      <c r="P5059"/>
      <c r="R5059"/>
      <c r="S5059"/>
      <c r="T5059"/>
    </row>
    <row r="5060" spans="1:20" ht="17.25" customHeight="1">
      <c r="A5060"/>
      <c r="B5060"/>
      <c r="P5060"/>
      <c r="R5060"/>
      <c r="S5060"/>
      <c r="T5060"/>
    </row>
    <row r="5061" spans="1:20" ht="17.25" customHeight="1">
      <c r="A5061"/>
      <c r="B5061"/>
      <c r="P5061"/>
      <c r="R5061"/>
      <c r="S5061"/>
      <c r="T5061"/>
    </row>
    <row r="5062" spans="1:20" ht="17.25" customHeight="1">
      <c r="A5062"/>
      <c r="B5062"/>
      <c r="P5062"/>
      <c r="R5062"/>
      <c r="S5062"/>
      <c r="T5062"/>
    </row>
    <row r="5063" spans="1:20" ht="17.25" customHeight="1">
      <c r="A5063"/>
      <c r="B5063"/>
      <c r="P5063"/>
      <c r="R5063"/>
      <c r="S5063"/>
      <c r="T5063"/>
    </row>
    <row r="5064" spans="1:20" ht="17.25" customHeight="1">
      <c r="A5064"/>
      <c r="B5064"/>
      <c r="P5064"/>
      <c r="R5064"/>
      <c r="S5064"/>
      <c r="T5064"/>
    </row>
    <row r="5065" spans="1:20" ht="17.25" customHeight="1">
      <c r="A5065"/>
      <c r="B5065"/>
      <c r="P5065"/>
      <c r="R5065"/>
      <c r="S5065"/>
      <c r="T5065"/>
    </row>
    <row r="5066" spans="1:20" ht="17.25" customHeight="1">
      <c r="A5066"/>
      <c r="B5066"/>
      <c r="P5066"/>
      <c r="R5066"/>
      <c r="S5066"/>
      <c r="T5066"/>
    </row>
    <row r="5067" spans="1:20" ht="17.25" customHeight="1">
      <c r="A5067"/>
      <c r="B5067"/>
      <c r="P5067"/>
      <c r="R5067"/>
      <c r="S5067"/>
      <c r="T5067"/>
    </row>
    <row r="5068" spans="1:20" ht="17.25" customHeight="1">
      <c r="A5068"/>
      <c r="B5068"/>
      <c r="P5068"/>
      <c r="R5068"/>
      <c r="S5068"/>
      <c r="T5068"/>
    </row>
    <row r="5069" spans="1:20" ht="17.25" customHeight="1">
      <c r="A5069"/>
      <c r="B5069"/>
      <c r="P5069"/>
      <c r="R5069"/>
      <c r="S5069"/>
      <c r="T5069"/>
    </row>
    <row r="5070" spans="1:20" ht="17.25" customHeight="1">
      <c r="A5070"/>
      <c r="B5070"/>
      <c r="P5070"/>
      <c r="R5070"/>
      <c r="S5070"/>
      <c r="T5070"/>
    </row>
    <row r="5071" spans="1:20" ht="17.25" customHeight="1">
      <c r="A5071"/>
      <c r="B5071"/>
      <c r="P5071"/>
      <c r="R5071"/>
      <c r="S5071"/>
      <c r="T5071"/>
    </row>
    <row r="5072" spans="1:20" ht="17.25" customHeight="1">
      <c r="A5072"/>
      <c r="B5072"/>
      <c r="P5072"/>
      <c r="R5072"/>
      <c r="S5072"/>
      <c r="T5072"/>
    </row>
    <row r="5073" spans="1:20" ht="17.25" customHeight="1">
      <c r="A5073"/>
      <c r="B5073"/>
      <c r="P5073"/>
      <c r="R5073"/>
      <c r="S5073"/>
      <c r="T5073"/>
    </row>
    <row r="5074" spans="1:20" ht="17.25" customHeight="1">
      <c r="A5074"/>
      <c r="B5074"/>
      <c r="P5074"/>
      <c r="R5074"/>
      <c r="S5074"/>
      <c r="T5074"/>
    </row>
    <row r="5075" spans="1:20" ht="17.25" customHeight="1">
      <c r="A5075"/>
      <c r="B5075"/>
      <c r="P5075"/>
      <c r="R5075"/>
      <c r="S5075"/>
      <c r="T5075"/>
    </row>
    <row r="5076" spans="1:20" ht="17.25" customHeight="1">
      <c r="A5076"/>
      <c r="B5076"/>
      <c r="P5076"/>
      <c r="R5076"/>
      <c r="S5076"/>
      <c r="T5076"/>
    </row>
    <row r="5077" spans="1:20" ht="17.25" customHeight="1">
      <c r="A5077"/>
      <c r="B5077"/>
      <c r="P5077"/>
      <c r="R5077"/>
      <c r="S5077"/>
      <c r="T5077"/>
    </row>
    <row r="5078" spans="1:20" ht="17.25" customHeight="1">
      <c r="A5078"/>
      <c r="B5078"/>
      <c r="P5078"/>
      <c r="R5078"/>
      <c r="S5078"/>
      <c r="T5078"/>
    </row>
    <row r="5079" spans="1:20" ht="17.25" customHeight="1">
      <c r="A5079"/>
      <c r="B5079"/>
      <c r="P5079"/>
      <c r="R5079"/>
      <c r="S5079"/>
      <c r="T5079"/>
    </row>
    <row r="5080" spans="1:20" ht="17.25" customHeight="1">
      <c r="A5080"/>
      <c r="B5080"/>
      <c r="P5080"/>
      <c r="R5080"/>
      <c r="S5080"/>
      <c r="T5080"/>
    </row>
    <row r="5081" spans="1:20" ht="17.25" customHeight="1">
      <c r="A5081"/>
      <c r="B5081"/>
      <c r="P5081"/>
      <c r="R5081"/>
      <c r="S5081"/>
      <c r="T5081"/>
    </row>
    <row r="5082" spans="1:20" ht="17.25" customHeight="1">
      <c r="A5082"/>
      <c r="B5082"/>
      <c r="P5082"/>
      <c r="R5082"/>
      <c r="S5082"/>
      <c r="T5082"/>
    </row>
    <row r="5083" spans="1:20" ht="17.25" customHeight="1">
      <c r="A5083"/>
      <c r="B5083"/>
      <c r="P5083"/>
      <c r="R5083"/>
      <c r="S5083"/>
      <c r="T5083"/>
    </row>
    <row r="5084" spans="1:20" ht="17.25" customHeight="1">
      <c r="A5084"/>
      <c r="B5084"/>
      <c r="P5084"/>
      <c r="R5084"/>
      <c r="S5084"/>
      <c r="T5084"/>
    </row>
    <row r="5085" spans="1:20" ht="17.25" customHeight="1">
      <c r="A5085"/>
      <c r="B5085"/>
      <c r="P5085"/>
      <c r="R5085"/>
      <c r="S5085"/>
      <c r="T5085"/>
    </row>
    <row r="5086" spans="1:20" ht="17.25" customHeight="1">
      <c r="A5086"/>
      <c r="B5086"/>
      <c r="P5086"/>
      <c r="R5086"/>
      <c r="S5086"/>
      <c r="T5086"/>
    </row>
    <row r="5087" spans="1:20" ht="17.25" customHeight="1">
      <c r="A5087"/>
      <c r="B5087"/>
      <c r="P5087"/>
      <c r="R5087"/>
      <c r="S5087"/>
      <c r="T5087"/>
    </row>
    <row r="5088" spans="1:20" ht="17.25" customHeight="1">
      <c r="A5088"/>
      <c r="B5088"/>
      <c r="P5088"/>
      <c r="R5088"/>
      <c r="S5088"/>
      <c r="T5088"/>
    </row>
    <row r="5089" spans="1:20" ht="17.25" customHeight="1">
      <c r="A5089"/>
      <c r="B5089"/>
      <c r="P5089"/>
      <c r="R5089"/>
      <c r="S5089"/>
      <c r="T5089"/>
    </row>
    <row r="5090" spans="1:20" ht="17.25" customHeight="1">
      <c r="A5090"/>
      <c r="B5090"/>
      <c r="P5090"/>
      <c r="R5090"/>
      <c r="S5090"/>
      <c r="T5090"/>
    </row>
    <row r="5091" spans="1:20" ht="17.25" customHeight="1">
      <c r="A5091"/>
      <c r="B5091"/>
      <c r="P5091"/>
      <c r="R5091"/>
      <c r="S5091"/>
      <c r="T5091"/>
    </row>
    <row r="5092" spans="1:20" ht="17.25" customHeight="1">
      <c r="A5092"/>
      <c r="B5092"/>
      <c r="P5092"/>
      <c r="R5092"/>
      <c r="S5092"/>
      <c r="T5092"/>
    </row>
    <row r="5093" spans="1:20" ht="17.25" customHeight="1">
      <c r="A5093"/>
      <c r="B5093"/>
      <c r="P5093"/>
      <c r="R5093"/>
      <c r="S5093"/>
      <c r="T5093"/>
    </row>
    <row r="5094" spans="1:20" ht="17.25" customHeight="1">
      <c r="A5094"/>
      <c r="B5094"/>
      <c r="P5094"/>
      <c r="R5094"/>
      <c r="S5094"/>
      <c r="T5094"/>
    </row>
    <row r="5095" spans="1:20" ht="17.25" customHeight="1">
      <c r="A5095"/>
      <c r="B5095"/>
      <c r="P5095"/>
      <c r="R5095"/>
      <c r="S5095"/>
      <c r="T5095"/>
    </row>
    <row r="5096" spans="1:20" ht="17.25" customHeight="1">
      <c r="A5096"/>
      <c r="B5096"/>
      <c r="P5096"/>
      <c r="R5096"/>
      <c r="S5096"/>
      <c r="T5096"/>
    </row>
    <row r="5097" spans="1:20" ht="17.25" customHeight="1">
      <c r="A5097"/>
      <c r="B5097"/>
      <c r="P5097"/>
      <c r="R5097"/>
      <c r="S5097"/>
      <c r="T5097"/>
    </row>
    <row r="5098" spans="1:20" ht="17.25" customHeight="1">
      <c r="A5098"/>
      <c r="B5098"/>
      <c r="P5098"/>
      <c r="R5098"/>
      <c r="S5098"/>
      <c r="T5098"/>
    </row>
    <row r="5099" spans="1:20" ht="17.25" customHeight="1">
      <c r="A5099"/>
      <c r="B5099"/>
      <c r="P5099"/>
      <c r="R5099"/>
      <c r="S5099"/>
      <c r="T5099"/>
    </row>
    <row r="5100" spans="1:20" ht="17.25" customHeight="1">
      <c r="A5100"/>
      <c r="B5100"/>
      <c r="P5100"/>
      <c r="R5100"/>
      <c r="S5100"/>
      <c r="T5100"/>
    </row>
    <row r="5101" spans="1:20" ht="17.25" customHeight="1">
      <c r="A5101"/>
      <c r="B5101"/>
      <c r="P5101"/>
      <c r="R5101"/>
      <c r="S5101"/>
      <c r="T5101"/>
    </row>
    <row r="5102" spans="1:20" ht="17.25" customHeight="1">
      <c r="A5102"/>
      <c r="B5102"/>
      <c r="P5102"/>
      <c r="R5102"/>
      <c r="S5102"/>
      <c r="T5102"/>
    </row>
    <row r="5103" spans="1:20" ht="17.25" customHeight="1">
      <c r="A5103"/>
      <c r="B5103"/>
      <c r="P5103"/>
      <c r="R5103"/>
      <c r="S5103"/>
      <c r="T5103"/>
    </row>
    <row r="5104" spans="1:20" ht="17.25" customHeight="1">
      <c r="A5104"/>
      <c r="B5104"/>
      <c r="P5104"/>
      <c r="R5104"/>
      <c r="S5104"/>
      <c r="T5104"/>
    </row>
    <row r="5105" spans="1:20" ht="17.25" customHeight="1">
      <c r="A5105"/>
      <c r="B5105"/>
      <c r="P5105"/>
      <c r="R5105"/>
      <c r="S5105"/>
      <c r="T5105"/>
    </row>
    <row r="5106" spans="1:20" ht="17.25" customHeight="1">
      <c r="A5106"/>
      <c r="B5106"/>
      <c r="P5106"/>
      <c r="R5106"/>
      <c r="S5106"/>
      <c r="T5106"/>
    </row>
    <row r="5107" spans="1:20" ht="17.25" customHeight="1">
      <c r="A5107"/>
      <c r="B5107"/>
      <c r="P5107"/>
      <c r="R5107"/>
      <c r="S5107"/>
      <c r="T5107"/>
    </row>
    <row r="5108" spans="1:20" ht="17.25" customHeight="1">
      <c r="A5108"/>
      <c r="B5108"/>
      <c r="P5108"/>
      <c r="R5108"/>
      <c r="S5108"/>
      <c r="T5108"/>
    </row>
    <row r="5109" spans="1:20" ht="17.25" customHeight="1">
      <c r="A5109"/>
      <c r="B5109"/>
      <c r="P5109"/>
      <c r="R5109"/>
      <c r="S5109"/>
      <c r="T5109"/>
    </row>
    <row r="5110" spans="1:20" ht="17.25" customHeight="1">
      <c r="A5110"/>
      <c r="B5110"/>
      <c r="P5110"/>
      <c r="R5110"/>
      <c r="S5110"/>
      <c r="T5110"/>
    </row>
    <row r="5111" spans="1:20" ht="17.25" customHeight="1">
      <c r="A5111"/>
      <c r="B5111"/>
      <c r="P5111"/>
      <c r="R5111"/>
      <c r="S5111"/>
      <c r="T5111"/>
    </row>
    <row r="5112" spans="1:20" ht="17.25" customHeight="1">
      <c r="A5112"/>
      <c r="B5112"/>
      <c r="P5112"/>
      <c r="R5112"/>
      <c r="S5112"/>
      <c r="T5112"/>
    </row>
    <row r="5113" spans="1:20" ht="17.25" customHeight="1">
      <c r="A5113"/>
      <c r="B5113"/>
      <c r="P5113"/>
      <c r="R5113"/>
      <c r="S5113"/>
      <c r="T5113"/>
    </row>
    <row r="5114" spans="1:20" ht="17.25" customHeight="1">
      <c r="A5114"/>
      <c r="B5114"/>
      <c r="P5114"/>
      <c r="R5114"/>
      <c r="S5114"/>
      <c r="T5114"/>
    </row>
    <row r="5115" spans="1:20" ht="17.25" customHeight="1">
      <c r="A5115"/>
      <c r="B5115"/>
      <c r="P5115"/>
      <c r="R5115"/>
      <c r="S5115"/>
      <c r="T5115"/>
    </row>
    <row r="5116" spans="1:20" ht="17.25" customHeight="1">
      <c r="A5116"/>
      <c r="B5116"/>
      <c r="P5116"/>
      <c r="R5116"/>
      <c r="S5116"/>
      <c r="T5116"/>
    </row>
    <row r="5117" spans="1:20" ht="17.25" customHeight="1">
      <c r="A5117"/>
      <c r="B5117"/>
      <c r="P5117"/>
      <c r="R5117"/>
      <c r="S5117"/>
      <c r="T5117"/>
    </row>
    <row r="5118" spans="1:20" ht="17.25" customHeight="1">
      <c r="A5118"/>
      <c r="B5118"/>
      <c r="P5118"/>
      <c r="R5118"/>
      <c r="S5118"/>
      <c r="T5118"/>
    </row>
    <row r="5119" spans="1:20" ht="17.25" customHeight="1">
      <c r="A5119"/>
      <c r="B5119"/>
      <c r="P5119"/>
      <c r="R5119"/>
      <c r="S5119"/>
      <c r="T5119"/>
    </row>
    <row r="5120" spans="1:20" ht="17.25" customHeight="1">
      <c r="A5120"/>
      <c r="B5120"/>
      <c r="P5120"/>
      <c r="R5120"/>
      <c r="S5120"/>
      <c r="T5120"/>
    </row>
    <row r="5121" spans="1:20" ht="17.25" customHeight="1">
      <c r="A5121"/>
      <c r="B5121"/>
      <c r="P5121"/>
      <c r="R5121"/>
      <c r="S5121"/>
      <c r="T5121"/>
    </row>
    <row r="5122" spans="1:20" ht="17.25" customHeight="1">
      <c r="A5122"/>
      <c r="B5122"/>
      <c r="P5122"/>
      <c r="R5122"/>
      <c r="S5122"/>
      <c r="T5122"/>
    </row>
    <row r="5123" spans="1:20" ht="17.25" customHeight="1">
      <c r="A5123"/>
      <c r="B5123"/>
      <c r="P5123"/>
      <c r="R5123"/>
      <c r="S5123"/>
      <c r="T5123"/>
    </row>
    <row r="5124" spans="1:20" ht="17.25" customHeight="1">
      <c r="A5124"/>
      <c r="B5124"/>
      <c r="P5124"/>
      <c r="R5124"/>
      <c r="S5124"/>
      <c r="T5124"/>
    </row>
    <row r="5125" spans="1:20" ht="17.25" customHeight="1">
      <c r="A5125"/>
      <c r="B5125"/>
      <c r="P5125"/>
      <c r="R5125"/>
      <c r="S5125"/>
      <c r="T5125"/>
    </row>
    <row r="5126" spans="1:20" ht="17.25" customHeight="1">
      <c r="A5126"/>
      <c r="B5126"/>
      <c r="P5126"/>
      <c r="R5126"/>
      <c r="S5126"/>
      <c r="T5126"/>
    </row>
    <row r="5127" spans="1:20" ht="17.25" customHeight="1">
      <c r="A5127"/>
      <c r="B5127"/>
      <c r="P5127"/>
      <c r="R5127"/>
      <c r="S5127"/>
      <c r="T5127"/>
    </row>
    <row r="5128" spans="1:20" ht="17.25" customHeight="1">
      <c r="A5128"/>
      <c r="B5128"/>
      <c r="P5128"/>
      <c r="R5128"/>
      <c r="S5128"/>
      <c r="T5128"/>
    </row>
    <row r="5129" spans="1:20" ht="17.25" customHeight="1">
      <c r="A5129"/>
      <c r="B5129"/>
      <c r="P5129"/>
      <c r="R5129"/>
      <c r="S5129"/>
      <c r="T5129"/>
    </row>
    <row r="5130" spans="1:20" ht="17.25" customHeight="1">
      <c r="A5130"/>
      <c r="B5130"/>
      <c r="P5130"/>
      <c r="R5130"/>
      <c r="S5130"/>
      <c r="T5130"/>
    </row>
    <row r="5131" spans="1:20" ht="17.25" customHeight="1">
      <c r="A5131"/>
      <c r="B5131"/>
      <c r="P5131"/>
      <c r="R5131"/>
      <c r="S5131"/>
      <c r="T5131"/>
    </row>
    <row r="5132" spans="1:20" ht="17.25" customHeight="1">
      <c r="A5132"/>
      <c r="B5132"/>
      <c r="P5132"/>
      <c r="R5132"/>
      <c r="S5132"/>
      <c r="T5132"/>
    </row>
    <row r="5133" spans="1:20" ht="17.25" customHeight="1">
      <c r="A5133"/>
      <c r="B5133"/>
      <c r="P5133"/>
      <c r="R5133"/>
      <c r="S5133"/>
      <c r="T5133"/>
    </row>
    <row r="5134" spans="1:20" ht="17.25" customHeight="1">
      <c r="A5134"/>
      <c r="B5134"/>
      <c r="P5134"/>
      <c r="R5134"/>
      <c r="S5134"/>
      <c r="T5134"/>
    </row>
    <row r="5135" spans="1:20" ht="17.25" customHeight="1">
      <c r="A5135"/>
      <c r="B5135"/>
      <c r="P5135"/>
      <c r="R5135"/>
      <c r="S5135"/>
      <c r="T5135"/>
    </row>
    <row r="5136" spans="1:20" ht="17.25" customHeight="1">
      <c r="A5136"/>
      <c r="B5136"/>
      <c r="P5136"/>
      <c r="R5136"/>
      <c r="S5136"/>
      <c r="T5136"/>
    </row>
    <row r="5137" spans="1:20" ht="17.25" customHeight="1">
      <c r="A5137"/>
      <c r="B5137"/>
      <c r="P5137"/>
      <c r="R5137"/>
      <c r="S5137"/>
      <c r="T5137"/>
    </row>
    <row r="5138" spans="1:20" ht="17.25" customHeight="1">
      <c r="A5138"/>
      <c r="B5138"/>
      <c r="P5138"/>
      <c r="R5138"/>
      <c r="S5138"/>
      <c r="T5138"/>
    </row>
    <row r="5139" spans="1:20" ht="17.25" customHeight="1">
      <c r="A5139"/>
      <c r="B5139"/>
      <c r="P5139"/>
      <c r="R5139"/>
      <c r="S5139"/>
      <c r="T5139"/>
    </row>
    <row r="5140" spans="1:20" ht="17.25" customHeight="1">
      <c r="A5140"/>
      <c r="B5140"/>
      <c r="P5140"/>
      <c r="R5140"/>
      <c r="S5140"/>
      <c r="T5140"/>
    </row>
    <row r="5141" spans="1:20" ht="17.25" customHeight="1">
      <c r="A5141"/>
      <c r="B5141"/>
      <c r="P5141"/>
      <c r="R5141"/>
      <c r="S5141"/>
      <c r="T5141"/>
    </row>
    <row r="5142" spans="1:20" ht="17.25" customHeight="1">
      <c r="A5142"/>
      <c r="B5142"/>
      <c r="P5142"/>
      <c r="R5142"/>
      <c r="S5142"/>
      <c r="T5142"/>
    </row>
    <row r="5143" spans="1:20" ht="17.25" customHeight="1">
      <c r="A5143"/>
      <c r="B5143"/>
      <c r="P5143"/>
      <c r="R5143"/>
      <c r="S5143"/>
      <c r="T5143"/>
    </row>
    <row r="5144" spans="1:20" ht="17.25" customHeight="1">
      <c r="A5144"/>
      <c r="B5144"/>
      <c r="P5144"/>
      <c r="R5144"/>
      <c r="S5144"/>
      <c r="T5144"/>
    </row>
    <row r="5145" spans="1:20" ht="17.25" customHeight="1">
      <c r="A5145"/>
      <c r="B5145"/>
      <c r="P5145"/>
      <c r="R5145"/>
      <c r="S5145"/>
      <c r="T5145"/>
    </row>
    <row r="5146" spans="1:20" ht="17.25" customHeight="1">
      <c r="A5146"/>
      <c r="B5146"/>
      <c r="P5146"/>
      <c r="R5146"/>
      <c r="S5146"/>
      <c r="T5146"/>
    </row>
    <row r="5147" spans="1:20" ht="17.25" customHeight="1">
      <c r="A5147"/>
      <c r="B5147"/>
      <c r="P5147"/>
      <c r="R5147"/>
      <c r="S5147"/>
      <c r="T5147"/>
    </row>
    <row r="5148" spans="1:20" ht="17.25" customHeight="1">
      <c r="A5148"/>
      <c r="B5148"/>
      <c r="P5148"/>
      <c r="R5148"/>
      <c r="S5148"/>
      <c r="T5148"/>
    </row>
    <row r="5149" spans="1:20" ht="17.25" customHeight="1">
      <c r="A5149"/>
      <c r="B5149"/>
      <c r="P5149"/>
      <c r="R5149"/>
      <c r="S5149"/>
      <c r="T5149"/>
    </row>
    <row r="5150" spans="1:20" ht="17.25" customHeight="1">
      <c r="A5150"/>
      <c r="B5150"/>
      <c r="P5150"/>
      <c r="R5150"/>
      <c r="S5150"/>
      <c r="T5150"/>
    </row>
    <row r="5151" spans="1:20" ht="17.25" customHeight="1">
      <c r="A5151"/>
      <c r="B5151"/>
      <c r="P5151"/>
      <c r="R5151"/>
      <c r="S5151"/>
      <c r="T5151"/>
    </row>
    <row r="5152" spans="1:20" ht="17.25" customHeight="1">
      <c r="A5152"/>
      <c r="B5152"/>
      <c r="P5152"/>
      <c r="R5152"/>
      <c r="S5152"/>
      <c r="T5152"/>
    </row>
    <row r="5153" spans="1:20" ht="17.25" customHeight="1">
      <c r="A5153"/>
      <c r="B5153"/>
      <c r="P5153"/>
      <c r="R5153"/>
      <c r="S5153"/>
      <c r="T5153"/>
    </row>
    <row r="5154" spans="1:20" ht="17.25" customHeight="1">
      <c r="A5154"/>
      <c r="B5154"/>
      <c r="P5154"/>
      <c r="R5154"/>
      <c r="S5154"/>
      <c r="T5154"/>
    </row>
    <row r="5155" spans="1:20" ht="17.25" customHeight="1">
      <c r="A5155"/>
      <c r="B5155"/>
      <c r="P5155"/>
      <c r="R5155"/>
      <c r="S5155"/>
      <c r="T5155"/>
    </row>
    <row r="5156" spans="1:20" ht="17.25" customHeight="1">
      <c r="A5156"/>
      <c r="B5156"/>
      <c r="P5156"/>
      <c r="R5156"/>
      <c r="S5156"/>
      <c r="T5156"/>
    </row>
    <row r="5157" spans="1:20" ht="17.25" customHeight="1">
      <c r="A5157"/>
      <c r="B5157"/>
      <c r="P5157"/>
      <c r="R5157"/>
      <c r="S5157"/>
      <c r="T5157"/>
    </row>
    <row r="5158" spans="1:20" ht="17.25" customHeight="1">
      <c r="A5158"/>
      <c r="B5158"/>
      <c r="P5158"/>
      <c r="R5158"/>
      <c r="S5158"/>
      <c r="T5158"/>
    </row>
    <row r="5159" spans="1:20" ht="17.25" customHeight="1">
      <c r="A5159"/>
      <c r="B5159"/>
      <c r="P5159"/>
      <c r="R5159"/>
      <c r="S5159"/>
      <c r="T5159"/>
    </row>
    <row r="5160" spans="1:20" ht="17.25" customHeight="1">
      <c r="A5160"/>
      <c r="B5160"/>
      <c r="P5160"/>
      <c r="R5160"/>
      <c r="S5160"/>
      <c r="T5160"/>
    </row>
    <row r="5161" spans="1:20" ht="17.25" customHeight="1">
      <c r="A5161"/>
      <c r="B5161"/>
      <c r="P5161"/>
      <c r="R5161"/>
      <c r="S5161"/>
      <c r="T5161"/>
    </row>
    <row r="5162" spans="1:20" ht="17.25" customHeight="1">
      <c r="A5162"/>
      <c r="B5162"/>
      <c r="P5162"/>
      <c r="R5162"/>
      <c r="S5162"/>
      <c r="T5162"/>
    </row>
    <row r="5163" spans="1:20" ht="17.25" customHeight="1">
      <c r="A5163"/>
      <c r="B5163"/>
      <c r="P5163"/>
      <c r="R5163"/>
      <c r="S5163"/>
      <c r="T5163"/>
    </row>
    <row r="5164" spans="1:20" ht="17.25" customHeight="1">
      <c r="A5164"/>
      <c r="B5164"/>
      <c r="P5164"/>
      <c r="R5164"/>
      <c r="S5164"/>
      <c r="T5164"/>
    </row>
    <row r="5165" spans="1:20" ht="17.25" customHeight="1">
      <c r="A5165"/>
      <c r="B5165"/>
      <c r="P5165"/>
      <c r="R5165"/>
      <c r="S5165"/>
      <c r="T5165"/>
    </row>
    <row r="5166" spans="1:20" ht="17.25" customHeight="1">
      <c r="A5166"/>
      <c r="B5166"/>
      <c r="P5166"/>
      <c r="R5166"/>
      <c r="S5166"/>
      <c r="T5166"/>
    </row>
    <row r="5167" spans="1:20" ht="17.25" customHeight="1">
      <c r="A5167"/>
      <c r="B5167"/>
      <c r="P5167"/>
      <c r="R5167"/>
      <c r="S5167"/>
      <c r="T5167"/>
    </row>
    <row r="5168" spans="1:20" ht="17.25" customHeight="1">
      <c r="A5168"/>
      <c r="B5168"/>
      <c r="P5168"/>
      <c r="R5168"/>
      <c r="S5168"/>
      <c r="T5168"/>
    </row>
    <row r="5169" spans="1:20" ht="17.25" customHeight="1">
      <c r="A5169"/>
      <c r="B5169"/>
      <c r="P5169"/>
      <c r="R5169"/>
      <c r="S5169"/>
      <c r="T5169"/>
    </row>
    <row r="5170" spans="1:20" ht="17.25" customHeight="1">
      <c r="A5170"/>
      <c r="B5170"/>
      <c r="P5170"/>
      <c r="R5170"/>
      <c r="S5170"/>
      <c r="T5170"/>
    </row>
    <row r="5171" spans="1:20" ht="17.25" customHeight="1">
      <c r="A5171"/>
      <c r="B5171"/>
      <c r="P5171"/>
      <c r="R5171"/>
      <c r="S5171"/>
      <c r="T5171"/>
    </row>
    <row r="5172" spans="1:20" ht="17.25" customHeight="1">
      <c r="A5172"/>
      <c r="B5172"/>
      <c r="P5172"/>
      <c r="R5172"/>
      <c r="S5172"/>
      <c r="T5172"/>
    </row>
    <row r="5173" spans="1:20" ht="17.25" customHeight="1">
      <c r="A5173"/>
      <c r="B5173"/>
      <c r="P5173"/>
      <c r="R5173"/>
      <c r="S5173"/>
      <c r="T5173"/>
    </row>
    <row r="5174" spans="1:20" ht="17.25" customHeight="1">
      <c r="A5174"/>
      <c r="B5174"/>
      <c r="P5174"/>
      <c r="R5174"/>
      <c r="S5174"/>
      <c r="T5174"/>
    </row>
    <row r="5175" spans="1:20" ht="17.25" customHeight="1">
      <c r="A5175"/>
      <c r="B5175"/>
      <c r="P5175"/>
      <c r="R5175"/>
      <c r="S5175"/>
      <c r="T5175"/>
    </row>
    <row r="5176" spans="1:20" ht="17.25" customHeight="1">
      <c r="A5176"/>
      <c r="B5176"/>
      <c r="P5176"/>
      <c r="R5176"/>
      <c r="S5176"/>
      <c r="T5176"/>
    </row>
    <row r="5177" spans="1:20" ht="17.25" customHeight="1">
      <c r="A5177"/>
      <c r="B5177"/>
      <c r="P5177"/>
      <c r="R5177"/>
      <c r="S5177"/>
      <c r="T5177"/>
    </row>
    <row r="5178" spans="1:20" ht="17.25" customHeight="1">
      <c r="A5178"/>
      <c r="B5178"/>
      <c r="P5178"/>
      <c r="R5178"/>
      <c r="S5178"/>
      <c r="T5178"/>
    </row>
    <row r="5179" spans="1:20" ht="17.25" customHeight="1">
      <c r="A5179"/>
      <c r="B5179"/>
      <c r="P5179"/>
      <c r="R5179"/>
      <c r="S5179"/>
      <c r="T5179"/>
    </row>
    <row r="5180" spans="1:20" ht="17.25" customHeight="1">
      <c r="A5180"/>
      <c r="B5180"/>
      <c r="P5180"/>
      <c r="R5180"/>
      <c r="S5180"/>
      <c r="T5180"/>
    </row>
    <row r="5181" spans="1:20" ht="17.25" customHeight="1">
      <c r="A5181"/>
      <c r="B5181"/>
      <c r="P5181"/>
      <c r="R5181"/>
      <c r="S5181"/>
      <c r="T5181"/>
    </row>
    <row r="5182" spans="1:20" ht="17.25" customHeight="1">
      <c r="A5182"/>
      <c r="B5182"/>
      <c r="P5182"/>
      <c r="R5182"/>
      <c r="S5182"/>
      <c r="T5182"/>
    </row>
    <row r="5183" spans="1:20" ht="17.25" customHeight="1">
      <c r="A5183"/>
      <c r="B5183"/>
      <c r="P5183"/>
      <c r="R5183"/>
      <c r="S5183"/>
      <c r="T5183"/>
    </row>
    <row r="5184" spans="1:20" ht="17.25" customHeight="1">
      <c r="A5184"/>
      <c r="B5184"/>
      <c r="P5184"/>
      <c r="R5184"/>
      <c r="S5184"/>
      <c r="T5184"/>
    </row>
    <row r="5185" spans="1:20" ht="17.25" customHeight="1">
      <c r="A5185"/>
      <c r="B5185"/>
      <c r="P5185"/>
      <c r="R5185"/>
      <c r="S5185"/>
      <c r="T5185"/>
    </row>
    <row r="5186" spans="1:20" ht="17.25" customHeight="1">
      <c r="A5186"/>
      <c r="B5186"/>
      <c r="P5186"/>
      <c r="R5186"/>
      <c r="S5186"/>
      <c r="T5186"/>
    </row>
    <row r="5187" spans="1:20" ht="17.25" customHeight="1">
      <c r="A5187"/>
      <c r="B5187"/>
      <c r="P5187"/>
      <c r="R5187"/>
      <c r="S5187"/>
      <c r="T5187"/>
    </row>
    <row r="5188" spans="1:20" ht="17.25" customHeight="1">
      <c r="A5188"/>
      <c r="B5188"/>
      <c r="P5188"/>
      <c r="R5188"/>
      <c r="S5188"/>
      <c r="T5188"/>
    </row>
    <row r="5189" spans="1:20" ht="17.25" customHeight="1">
      <c r="A5189"/>
      <c r="B5189"/>
      <c r="P5189"/>
      <c r="R5189"/>
      <c r="S5189"/>
      <c r="T5189"/>
    </row>
    <row r="5190" spans="1:20" ht="17.25" customHeight="1">
      <c r="A5190"/>
      <c r="B5190"/>
      <c r="P5190"/>
      <c r="R5190"/>
      <c r="S5190"/>
      <c r="T5190"/>
    </row>
    <row r="5191" spans="1:20" ht="17.25" customHeight="1">
      <c r="A5191"/>
      <c r="B5191"/>
      <c r="P5191"/>
      <c r="R5191"/>
      <c r="S5191"/>
      <c r="T5191"/>
    </row>
    <row r="5192" spans="1:20" ht="17.25" customHeight="1">
      <c r="A5192"/>
      <c r="B5192"/>
      <c r="P5192"/>
      <c r="R5192"/>
      <c r="S5192"/>
      <c r="T5192"/>
    </row>
    <row r="5193" spans="1:20" ht="17.25" customHeight="1">
      <c r="A5193"/>
      <c r="B5193"/>
      <c r="P5193"/>
      <c r="R5193"/>
      <c r="S5193"/>
      <c r="T5193"/>
    </row>
    <row r="5194" spans="1:20" ht="17.25" customHeight="1">
      <c r="A5194"/>
      <c r="B5194"/>
      <c r="P5194"/>
      <c r="R5194"/>
      <c r="S5194"/>
      <c r="T5194"/>
    </row>
    <row r="5195" spans="1:20" ht="17.25" customHeight="1">
      <c r="A5195"/>
      <c r="B5195"/>
      <c r="P5195"/>
      <c r="R5195"/>
      <c r="S5195"/>
      <c r="T5195"/>
    </row>
    <row r="5196" spans="1:20" ht="17.25" customHeight="1">
      <c r="A5196"/>
      <c r="B5196"/>
      <c r="P5196"/>
      <c r="R5196"/>
      <c r="S5196"/>
      <c r="T5196"/>
    </row>
    <row r="5197" spans="1:20" ht="17.25" customHeight="1">
      <c r="A5197"/>
      <c r="B5197"/>
      <c r="P5197"/>
      <c r="R5197"/>
      <c r="S5197"/>
      <c r="T5197"/>
    </row>
    <row r="5198" spans="1:20" ht="17.25" customHeight="1">
      <c r="A5198"/>
      <c r="B5198"/>
      <c r="P5198"/>
      <c r="R5198"/>
      <c r="S5198"/>
      <c r="T5198"/>
    </row>
    <row r="5199" spans="1:20" ht="17.25" customHeight="1">
      <c r="A5199"/>
      <c r="B5199"/>
      <c r="P5199"/>
      <c r="R5199"/>
      <c r="S5199"/>
      <c r="T5199"/>
    </row>
    <row r="5200" spans="1:20" ht="17.25" customHeight="1">
      <c r="A5200"/>
      <c r="B5200"/>
      <c r="P5200"/>
      <c r="R5200"/>
      <c r="S5200"/>
      <c r="T5200"/>
    </row>
    <row r="5201" spans="1:20" ht="17.25" customHeight="1">
      <c r="A5201"/>
      <c r="B5201"/>
      <c r="P5201"/>
      <c r="R5201"/>
      <c r="S5201"/>
      <c r="T5201"/>
    </row>
    <row r="5202" spans="1:20" ht="17.25" customHeight="1">
      <c r="A5202"/>
      <c r="B5202"/>
      <c r="P5202"/>
      <c r="R5202"/>
      <c r="S5202"/>
      <c r="T5202"/>
    </row>
    <row r="5203" spans="1:20" ht="17.25" customHeight="1">
      <c r="A5203"/>
      <c r="B5203"/>
      <c r="P5203"/>
      <c r="R5203"/>
      <c r="S5203"/>
      <c r="T5203"/>
    </row>
    <row r="5204" spans="1:20" ht="17.25" customHeight="1">
      <c r="A5204"/>
      <c r="B5204"/>
      <c r="P5204"/>
      <c r="R5204"/>
      <c r="S5204"/>
      <c r="T5204"/>
    </row>
    <row r="5205" spans="1:20" ht="17.25" customHeight="1">
      <c r="A5205"/>
      <c r="B5205"/>
      <c r="P5205"/>
      <c r="R5205"/>
      <c r="S5205"/>
      <c r="T5205"/>
    </row>
    <row r="5206" spans="1:20" ht="17.25" customHeight="1">
      <c r="A5206"/>
      <c r="B5206"/>
      <c r="P5206"/>
      <c r="R5206"/>
      <c r="S5206"/>
      <c r="T5206"/>
    </row>
    <row r="5207" spans="1:20" ht="17.25" customHeight="1">
      <c r="A5207"/>
      <c r="B5207"/>
      <c r="P5207"/>
      <c r="R5207"/>
      <c r="S5207"/>
      <c r="T5207"/>
    </row>
    <row r="5208" spans="1:20" ht="17.25" customHeight="1">
      <c r="A5208"/>
      <c r="B5208"/>
      <c r="P5208"/>
      <c r="R5208"/>
      <c r="S5208"/>
      <c r="T5208"/>
    </row>
    <row r="5209" spans="1:20" ht="17.25" customHeight="1">
      <c r="A5209"/>
      <c r="B5209"/>
      <c r="P5209"/>
      <c r="R5209"/>
      <c r="S5209"/>
      <c r="T5209"/>
    </row>
    <row r="5210" spans="1:20" ht="17.25" customHeight="1">
      <c r="A5210"/>
      <c r="B5210"/>
      <c r="P5210"/>
      <c r="R5210"/>
      <c r="S5210"/>
      <c r="T5210"/>
    </row>
    <row r="5211" spans="1:20" ht="17.25" customHeight="1">
      <c r="A5211"/>
      <c r="B5211"/>
      <c r="P5211"/>
      <c r="R5211"/>
      <c r="S5211"/>
      <c r="T5211"/>
    </row>
    <row r="5212" spans="1:20" ht="17.25" customHeight="1">
      <c r="A5212"/>
      <c r="B5212"/>
      <c r="P5212"/>
      <c r="R5212"/>
      <c r="S5212"/>
      <c r="T5212"/>
    </row>
    <row r="5213" spans="1:20" ht="17.25" customHeight="1">
      <c r="A5213"/>
      <c r="B5213"/>
      <c r="P5213"/>
      <c r="R5213"/>
      <c r="S5213"/>
      <c r="T5213"/>
    </row>
    <row r="5214" spans="1:20" ht="17.25" customHeight="1">
      <c r="A5214"/>
      <c r="B5214"/>
      <c r="P5214"/>
      <c r="R5214"/>
      <c r="S5214"/>
      <c r="T5214"/>
    </row>
    <row r="5215" spans="1:20" ht="17.25" customHeight="1">
      <c r="A5215"/>
      <c r="B5215"/>
      <c r="P5215"/>
      <c r="R5215"/>
      <c r="S5215"/>
      <c r="T5215"/>
    </row>
    <row r="5216" spans="1:20" ht="17.25" customHeight="1">
      <c r="A5216"/>
      <c r="B5216"/>
      <c r="P5216"/>
      <c r="R5216"/>
      <c r="S5216"/>
      <c r="T5216"/>
    </row>
    <row r="5217" spans="1:20" ht="17.25" customHeight="1">
      <c r="A5217"/>
      <c r="B5217"/>
      <c r="P5217"/>
      <c r="R5217"/>
      <c r="S5217"/>
      <c r="T5217"/>
    </row>
    <row r="5218" spans="1:20" ht="17.25" customHeight="1">
      <c r="A5218"/>
      <c r="B5218"/>
      <c r="P5218"/>
      <c r="R5218"/>
      <c r="S5218"/>
      <c r="T5218"/>
    </row>
    <row r="5219" spans="1:20" ht="17.25" customHeight="1">
      <c r="A5219"/>
      <c r="B5219"/>
      <c r="P5219"/>
      <c r="R5219"/>
      <c r="S5219"/>
      <c r="T5219"/>
    </row>
    <row r="5220" spans="1:20" ht="17.25" customHeight="1">
      <c r="A5220"/>
      <c r="B5220"/>
      <c r="P5220"/>
      <c r="R5220"/>
      <c r="S5220"/>
      <c r="T5220"/>
    </row>
    <row r="5221" spans="1:20" ht="17.25" customHeight="1">
      <c r="A5221"/>
      <c r="B5221"/>
      <c r="P5221"/>
      <c r="R5221"/>
      <c r="S5221"/>
      <c r="T5221"/>
    </row>
    <row r="5222" spans="1:20" ht="17.25" customHeight="1">
      <c r="A5222"/>
      <c r="B5222"/>
      <c r="P5222"/>
      <c r="R5222"/>
      <c r="S5222"/>
      <c r="T5222"/>
    </row>
    <row r="5223" spans="1:20" ht="17.25" customHeight="1">
      <c r="A5223"/>
      <c r="B5223"/>
      <c r="P5223"/>
      <c r="R5223"/>
      <c r="S5223"/>
      <c r="T5223"/>
    </row>
    <row r="5224" spans="1:20" ht="17.25" customHeight="1">
      <c r="A5224"/>
      <c r="B5224"/>
      <c r="P5224"/>
      <c r="R5224"/>
      <c r="S5224"/>
      <c r="T5224"/>
    </row>
    <row r="5225" spans="1:20" ht="17.25" customHeight="1">
      <c r="A5225"/>
      <c r="B5225"/>
      <c r="P5225"/>
      <c r="R5225"/>
      <c r="S5225"/>
      <c r="T5225"/>
    </row>
    <row r="5226" spans="1:20" ht="17.25" customHeight="1">
      <c r="A5226"/>
      <c r="B5226"/>
      <c r="P5226"/>
      <c r="R5226"/>
      <c r="S5226"/>
      <c r="T5226"/>
    </row>
    <row r="5227" spans="1:20" ht="17.25" customHeight="1">
      <c r="A5227"/>
      <c r="B5227"/>
      <c r="P5227"/>
      <c r="R5227"/>
      <c r="S5227"/>
      <c r="T5227"/>
    </row>
    <row r="5228" spans="1:20" ht="17.25" customHeight="1">
      <c r="A5228"/>
      <c r="B5228"/>
      <c r="P5228"/>
      <c r="R5228"/>
      <c r="S5228"/>
      <c r="T5228"/>
    </row>
    <row r="5229" spans="1:20" ht="17.25" customHeight="1">
      <c r="A5229"/>
      <c r="B5229"/>
      <c r="P5229"/>
      <c r="R5229"/>
      <c r="S5229"/>
      <c r="T5229"/>
    </row>
    <row r="5230" spans="1:20" ht="17.25" customHeight="1">
      <c r="A5230"/>
      <c r="B5230"/>
      <c r="P5230"/>
      <c r="R5230"/>
      <c r="S5230"/>
      <c r="T5230"/>
    </row>
    <row r="5231" spans="1:20" ht="17.25" customHeight="1">
      <c r="A5231"/>
      <c r="B5231"/>
      <c r="P5231"/>
      <c r="R5231"/>
      <c r="S5231"/>
      <c r="T5231"/>
    </row>
    <row r="5232" spans="1:20" ht="17.25" customHeight="1">
      <c r="A5232"/>
      <c r="B5232"/>
      <c r="P5232"/>
      <c r="R5232"/>
      <c r="S5232"/>
      <c r="T5232"/>
    </row>
    <row r="5233" spans="1:20" ht="17.25" customHeight="1">
      <c r="A5233"/>
      <c r="B5233"/>
      <c r="P5233"/>
      <c r="R5233"/>
      <c r="S5233"/>
      <c r="T5233"/>
    </row>
    <row r="5234" spans="1:20" ht="17.25" customHeight="1">
      <c r="A5234"/>
      <c r="B5234"/>
      <c r="P5234"/>
      <c r="R5234"/>
      <c r="S5234"/>
      <c r="T5234"/>
    </row>
    <row r="5235" spans="1:20" ht="17.25" customHeight="1">
      <c r="A5235"/>
      <c r="B5235"/>
      <c r="P5235"/>
      <c r="R5235"/>
      <c r="S5235"/>
      <c r="T5235"/>
    </row>
    <row r="5236" spans="1:20" ht="17.25" customHeight="1">
      <c r="A5236"/>
      <c r="B5236"/>
      <c r="P5236"/>
      <c r="R5236"/>
      <c r="S5236"/>
      <c r="T5236"/>
    </row>
    <row r="5237" spans="1:20" ht="17.25" customHeight="1">
      <c r="A5237"/>
      <c r="B5237"/>
      <c r="P5237"/>
      <c r="R5237"/>
      <c r="S5237"/>
      <c r="T5237"/>
    </row>
    <row r="5238" spans="1:20" ht="17.25" customHeight="1">
      <c r="A5238"/>
      <c r="B5238"/>
      <c r="P5238"/>
      <c r="R5238"/>
      <c r="S5238"/>
      <c r="T5238"/>
    </row>
    <row r="5239" spans="1:20" ht="17.25" customHeight="1">
      <c r="A5239"/>
      <c r="B5239"/>
      <c r="P5239"/>
      <c r="R5239"/>
      <c r="S5239"/>
      <c r="T5239"/>
    </row>
    <row r="5240" spans="1:20" ht="17.25" customHeight="1">
      <c r="A5240"/>
      <c r="B5240"/>
      <c r="P5240"/>
      <c r="R5240"/>
      <c r="S5240"/>
      <c r="T5240"/>
    </row>
    <row r="5241" spans="1:20" ht="17.25" customHeight="1">
      <c r="A5241"/>
      <c r="B5241"/>
      <c r="P5241"/>
      <c r="R5241"/>
      <c r="S5241"/>
      <c r="T5241"/>
    </row>
    <row r="5242" spans="1:20" ht="17.25" customHeight="1">
      <c r="A5242"/>
      <c r="B5242"/>
      <c r="P5242"/>
      <c r="R5242"/>
      <c r="S5242"/>
      <c r="T5242"/>
    </row>
    <row r="5243" spans="1:20" ht="17.25" customHeight="1">
      <c r="A5243"/>
      <c r="B5243"/>
      <c r="P5243"/>
      <c r="R5243"/>
      <c r="S5243"/>
      <c r="T5243"/>
    </row>
    <row r="5244" spans="1:20" ht="17.25" customHeight="1">
      <c r="A5244"/>
      <c r="B5244"/>
      <c r="P5244"/>
      <c r="R5244"/>
      <c r="S5244"/>
      <c r="T5244"/>
    </row>
    <row r="5245" spans="1:20" ht="17.25" customHeight="1">
      <c r="A5245"/>
      <c r="B5245"/>
      <c r="P5245"/>
      <c r="R5245"/>
      <c r="S5245"/>
      <c r="T5245"/>
    </row>
    <row r="5246" spans="1:20" ht="17.25" customHeight="1">
      <c r="A5246"/>
      <c r="B5246"/>
      <c r="P5246"/>
      <c r="R5246"/>
      <c r="S5246"/>
      <c r="T5246"/>
    </row>
    <row r="5247" spans="1:20" ht="17.25" customHeight="1">
      <c r="A5247"/>
      <c r="B5247"/>
      <c r="P5247"/>
      <c r="R5247"/>
      <c r="S5247"/>
      <c r="T5247"/>
    </row>
    <row r="5248" spans="1:20" ht="17.25" customHeight="1">
      <c r="A5248"/>
      <c r="B5248"/>
      <c r="P5248"/>
      <c r="R5248"/>
      <c r="S5248"/>
      <c r="T5248"/>
    </row>
    <row r="5249" spans="1:20" ht="17.25" customHeight="1">
      <c r="A5249"/>
      <c r="B5249"/>
      <c r="P5249"/>
      <c r="R5249"/>
      <c r="S5249"/>
      <c r="T5249"/>
    </row>
    <row r="5250" spans="1:20" ht="17.25" customHeight="1">
      <c r="A5250"/>
      <c r="B5250"/>
      <c r="P5250"/>
      <c r="R5250"/>
      <c r="S5250"/>
      <c r="T5250"/>
    </row>
    <row r="5251" spans="1:20" ht="17.25" customHeight="1">
      <c r="A5251"/>
      <c r="B5251"/>
      <c r="P5251"/>
      <c r="R5251"/>
      <c r="S5251"/>
      <c r="T5251"/>
    </row>
    <row r="5252" spans="1:20" ht="17.25" customHeight="1">
      <c r="A5252"/>
      <c r="B5252"/>
      <c r="P5252"/>
      <c r="R5252"/>
      <c r="S5252"/>
      <c r="T5252"/>
    </row>
    <row r="5253" spans="1:20" ht="17.25" customHeight="1">
      <c r="A5253"/>
      <c r="B5253"/>
      <c r="P5253"/>
      <c r="R5253"/>
      <c r="S5253"/>
      <c r="T5253"/>
    </row>
    <row r="5254" spans="1:20" ht="17.25" customHeight="1">
      <c r="A5254"/>
      <c r="B5254"/>
      <c r="P5254"/>
      <c r="R5254"/>
      <c r="S5254"/>
      <c r="T5254"/>
    </row>
    <row r="5255" spans="1:20" ht="17.25" customHeight="1">
      <c r="A5255"/>
      <c r="B5255"/>
      <c r="P5255"/>
      <c r="R5255"/>
      <c r="S5255"/>
      <c r="T5255"/>
    </row>
    <row r="5256" spans="1:20" ht="17.25" customHeight="1">
      <c r="A5256"/>
      <c r="B5256"/>
      <c r="P5256"/>
      <c r="R5256"/>
      <c r="S5256"/>
      <c r="T5256"/>
    </row>
    <row r="5257" spans="1:20" ht="17.25" customHeight="1">
      <c r="A5257"/>
      <c r="B5257"/>
      <c r="P5257"/>
      <c r="R5257"/>
      <c r="S5257"/>
      <c r="T5257"/>
    </row>
    <row r="5258" spans="1:20" ht="17.25" customHeight="1">
      <c r="A5258"/>
      <c r="B5258"/>
      <c r="P5258"/>
      <c r="R5258"/>
      <c r="S5258"/>
      <c r="T5258"/>
    </row>
    <row r="5259" spans="1:20" ht="17.25" customHeight="1">
      <c r="A5259"/>
      <c r="B5259"/>
      <c r="P5259"/>
      <c r="R5259"/>
      <c r="S5259"/>
      <c r="T5259"/>
    </row>
    <row r="5260" spans="1:20" ht="17.25" customHeight="1">
      <c r="A5260"/>
      <c r="B5260"/>
      <c r="P5260"/>
      <c r="R5260"/>
      <c r="S5260"/>
      <c r="T5260"/>
    </row>
    <row r="5261" spans="1:20" ht="17.25" customHeight="1">
      <c r="A5261"/>
      <c r="B5261"/>
      <c r="P5261"/>
      <c r="R5261"/>
      <c r="S5261"/>
      <c r="T5261"/>
    </row>
    <row r="5262" spans="1:20" ht="17.25" customHeight="1">
      <c r="A5262"/>
      <c r="B5262"/>
      <c r="P5262"/>
      <c r="R5262"/>
      <c r="S5262"/>
      <c r="T5262"/>
    </row>
    <row r="5263" spans="1:20" ht="17.25" customHeight="1">
      <c r="A5263"/>
      <c r="B5263"/>
      <c r="P5263"/>
      <c r="R5263"/>
      <c r="S5263"/>
      <c r="T5263"/>
    </row>
    <row r="5264" spans="1:20" ht="17.25" customHeight="1">
      <c r="A5264"/>
      <c r="B5264"/>
      <c r="P5264"/>
      <c r="R5264"/>
      <c r="S5264"/>
      <c r="T5264"/>
    </row>
    <row r="5265" spans="1:20" ht="17.25" customHeight="1">
      <c r="A5265"/>
      <c r="B5265"/>
      <c r="P5265"/>
      <c r="R5265"/>
      <c r="S5265"/>
      <c r="T5265"/>
    </row>
    <row r="5266" spans="1:20" ht="17.25" customHeight="1">
      <c r="A5266"/>
      <c r="B5266"/>
      <c r="P5266"/>
      <c r="R5266"/>
      <c r="S5266"/>
      <c r="T5266"/>
    </row>
    <row r="5267" spans="1:20" ht="17.25" customHeight="1">
      <c r="A5267"/>
      <c r="B5267"/>
      <c r="P5267"/>
      <c r="R5267"/>
      <c r="S5267"/>
      <c r="T5267"/>
    </row>
    <row r="5268" spans="1:20" ht="17.25" customHeight="1">
      <c r="A5268"/>
      <c r="B5268"/>
      <c r="P5268"/>
      <c r="R5268"/>
      <c r="S5268"/>
      <c r="T5268"/>
    </row>
    <row r="5269" spans="1:20" ht="17.25" customHeight="1">
      <c r="A5269"/>
      <c r="B5269"/>
      <c r="P5269"/>
      <c r="R5269"/>
      <c r="S5269"/>
      <c r="T5269"/>
    </row>
    <row r="5270" spans="1:20" ht="17.25" customHeight="1">
      <c r="A5270"/>
      <c r="B5270"/>
      <c r="P5270"/>
      <c r="R5270"/>
      <c r="S5270"/>
      <c r="T5270"/>
    </row>
    <row r="5271" spans="1:20" ht="17.25" customHeight="1">
      <c r="A5271"/>
      <c r="B5271"/>
      <c r="P5271"/>
      <c r="R5271"/>
      <c r="S5271"/>
      <c r="T5271"/>
    </row>
    <row r="5272" spans="1:20" ht="17.25" customHeight="1">
      <c r="A5272"/>
      <c r="B5272"/>
      <c r="P5272"/>
      <c r="R5272"/>
      <c r="S5272"/>
      <c r="T5272"/>
    </row>
    <row r="5273" spans="1:20" ht="17.25" customHeight="1">
      <c r="A5273"/>
      <c r="B5273"/>
      <c r="P5273"/>
      <c r="R5273"/>
      <c r="S5273"/>
      <c r="T5273"/>
    </row>
    <row r="5274" spans="1:20" ht="17.25" customHeight="1">
      <c r="A5274"/>
      <c r="B5274"/>
      <c r="P5274"/>
      <c r="R5274"/>
      <c r="S5274"/>
      <c r="T5274"/>
    </row>
    <row r="5275" spans="1:20" ht="17.25" customHeight="1">
      <c r="A5275"/>
      <c r="B5275"/>
      <c r="P5275"/>
      <c r="R5275"/>
      <c r="S5275"/>
      <c r="T5275"/>
    </row>
    <row r="5276" spans="1:20" ht="17.25" customHeight="1">
      <c r="A5276"/>
      <c r="B5276"/>
      <c r="P5276"/>
      <c r="R5276"/>
      <c r="S5276"/>
      <c r="T5276"/>
    </row>
    <row r="5277" spans="1:20" ht="17.25" customHeight="1">
      <c r="A5277"/>
      <c r="B5277"/>
      <c r="P5277"/>
      <c r="R5277"/>
      <c r="S5277"/>
      <c r="T5277"/>
    </row>
    <row r="5278" spans="1:20" ht="17.25" customHeight="1">
      <c r="A5278"/>
      <c r="B5278"/>
      <c r="P5278"/>
      <c r="R5278"/>
      <c r="S5278"/>
      <c r="T5278"/>
    </row>
    <row r="5279" spans="1:20" ht="17.25" customHeight="1">
      <c r="A5279"/>
      <c r="B5279"/>
      <c r="P5279"/>
      <c r="R5279"/>
      <c r="S5279"/>
      <c r="T5279"/>
    </row>
    <row r="5280" spans="1:20" ht="17.25" customHeight="1">
      <c r="A5280"/>
      <c r="B5280"/>
      <c r="P5280"/>
      <c r="R5280"/>
      <c r="S5280"/>
      <c r="T5280"/>
    </row>
    <row r="5281" spans="1:20" ht="17.25" customHeight="1">
      <c r="A5281"/>
      <c r="B5281"/>
      <c r="P5281"/>
      <c r="R5281"/>
      <c r="S5281"/>
      <c r="T5281"/>
    </row>
    <row r="5282" spans="1:20" ht="17.25" customHeight="1">
      <c r="A5282"/>
      <c r="B5282"/>
      <c r="P5282"/>
      <c r="R5282"/>
      <c r="S5282"/>
      <c r="T5282"/>
    </row>
    <row r="5283" spans="1:20" ht="17.25" customHeight="1">
      <c r="A5283"/>
      <c r="B5283"/>
      <c r="P5283"/>
      <c r="R5283"/>
      <c r="S5283"/>
      <c r="T5283"/>
    </row>
    <row r="5284" spans="1:20" ht="17.25" customHeight="1">
      <c r="A5284"/>
      <c r="B5284"/>
      <c r="P5284"/>
      <c r="R5284"/>
      <c r="S5284"/>
      <c r="T5284"/>
    </row>
    <row r="5285" spans="1:20" ht="17.25" customHeight="1">
      <c r="A5285"/>
      <c r="B5285"/>
      <c r="P5285"/>
      <c r="R5285"/>
      <c r="S5285"/>
      <c r="T5285"/>
    </row>
    <row r="5286" spans="1:20" ht="17.25" customHeight="1">
      <c r="A5286"/>
      <c r="B5286"/>
      <c r="P5286"/>
      <c r="R5286"/>
      <c r="S5286"/>
      <c r="T5286"/>
    </row>
    <row r="5287" spans="1:20" ht="17.25" customHeight="1">
      <c r="A5287"/>
      <c r="B5287"/>
      <c r="P5287"/>
      <c r="R5287"/>
      <c r="S5287"/>
      <c r="T5287"/>
    </row>
    <row r="5288" spans="1:20" ht="17.25" customHeight="1">
      <c r="A5288"/>
      <c r="B5288"/>
      <c r="P5288"/>
      <c r="R5288"/>
      <c r="S5288"/>
      <c r="T5288"/>
    </row>
    <row r="5289" spans="1:20" ht="17.25" customHeight="1">
      <c r="A5289"/>
      <c r="B5289"/>
      <c r="P5289"/>
      <c r="R5289"/>
      <c r="S5289"/>
      <c r="T5289"/>
    </row>
    <row r="5290" spans="1:20" ht="17.25" customHeight="1">
      <c r="A5290"/>
      <c r="B5290"/>
      <c r="P5290"/>
      <c r="R5290"/>
      <c r="S5290"/>
      <c r="T5290"/>
    </row>
    <row r="5291" spans="1:20" ht="17.25" customHeight="1">
      <c r="A5291"/>
      <c r="B5291"/>
      <c r="P5291"/>
      <c r="R5291"/>
      <c r="S5291"/>
      <c r="T5291"/>
    </row>
    <row r="5292" spans="1:20" ht="17.25" customHeight="1">
      <c r="A5292"/>
      <c r="B5292"/>
      <c r="P5292"/>
      <c r="R5292"/>
      <c r="S5292"/>
      <c r="T5292"/>
    </row>
    <row r="5293" spans="1:20" ht="17.25" customHeight="1">
      <c r="A5293"/>
      <c r="B5293"/>
      <c r="P5293"/>
      <c r="R5293"/>
      <c r="S5293"/>
      <c r="T5293"/>
    </row>
    <row r="5294" spans="1:20" ht="17.25" customHeight="1">
      <c r="A5294"/>
      <c r="B5294"/>
      <c r="P5294"/>
      <c r="R5294"/>
      <c r="S5294"/>
      <c r="T5294"/>
    </row>
    <row r="5295" spans="1:20" ht="17.25" customHeight="1">
      <c r="A5295"/>
      <c r="B5295"/>
      <c r="P5295"/>
      <c r="R5295"/>
      <c r="S5295"/>
      <c r="T5295"/>
    </row>
    <row r="5296" spans="1:20" ht="17.25" customHeight="1">
      <c r="A5296"/>
      <c r="B5296"/>
      <c r="P5296"/>
      <c r="R5296"/>
      <c r="S5296"/>
      <c r="T5296"/>
    </row>
    <row r="5297" spans="1:20" ht="17.25" customHeight="1">
      <c r="A5297"/>
      <c r="B5297"/>
      <c r="P5297"/>
      <c r="R5297"/>
      <c r="S5297"/>
      <c r="T5297"/>
    </row>
    <row r="5298" spans="1:20" ht="17.25" customHeight="1">
      <c r="A5298"/>
      <c r="B5298"/>
      <c r="P5298"/>
      <c r="R5298"/>
      <c r="S5298"/>
      <c r="T5298"/>
    </row>
    <row r="5299" spans="1:20" ht="17.25" customHeight="1">
      <c r="A5299"/>
      <c r="B5299"/>
      <c r="P5299"/>
      <c r="R5299"/>
      <c r="S5299"/>
      <c r="T5299"/>
    </row>
    <row r="5300" spans="1:20" ht="17.25" customHeight="1">
      <c r="A5300"/>
      <c r="B5300"/>
      <c r="P5300"/>
      <c r="R5300"/>
      <c r="S5300"/>
      <c r="T5300"/>
    </row>
    <row r="5301" spans="1:20" ht="17.25" customHeight="1">
      <c r="A5301"/>
      <c r="B5301"/>
      <c r="P5301"/>
      <c r="R5301"/>
      <c r="S5301"/>
      <c r="T5301"/>
    </row>
    <row r="5302" spans="1:20" ht="17.25" customHeight="1">
      <c r="A5302"/>
      <c r="B5302"/>
      <c r="P5302"/>
      <c r="R5302"/>
      <c r="S5302"/>
      <c r="T5302"/>
    </row>
    <row r="5303" spans="1:20" ht="17.25" customHeight="1">
      <c r="A5303"/>
      <c r="B5303"/>
      <c r="P5303"/>
      <c r="R5303"/>
      <c r="S5303"/>
      <c r="T5303"/>
    </row>
    <row r="5304" spans="1:20" ht="17.25" customHeight="1">
      <c r="A5304"/>
      <c r="B5304"/>
      <c r="P5304"/>
      <c r="R5304"/>
      <c r="S5304"/>
      <c r="T5304"/>
    </row>
    <row r="5305" spans="1:20" ht="17.25" customHeight="1">
      <c r="A5305"/>
      <c r="B5305"/>
      <c r="P5305"/>
      <c r="R5305"/>
      <c r="S5305"/>
      <c r="T5305"/>
    </row>
    <row r="5306" spans="1:20" ht="17.25" customHeight="1">
      <c r="A5306"/>
      <c r="B5306"/>
      <c r="P5306"/>
      <c r="R5306"/>
      <c r="S5306"/>
      <c r="T5306"/>
    </row>
    <row r="5307" spans="1:20" ht="17.25" customHeight="1">
      <c r="A5307"/>
      <c r="B5307"/>
      <c r="P5307"/>
      <c r="R5307"/>
      <c r="S5307"/>
      <c r="T5307"/>
    </row>
    <row r="5308" spans="1:20" ht="17.25" customHeight="1">
      <c r="A5308"/>
      <c r="B5308"/>
      <c r="P5308"/>
      <c r="R5308"/>
      <c r="S5308"/>
      <c r="T5308"/>
    </row>
    <row r="5309" spans="1:20" ht="17.25" customHeight="1">
      <c r="A5309"/>
      <c r="B5309"/>
      <c r="P5309"/>
      <c r="R5309"/>
      <c r="S5309"/>
      <c r="T5309"/>
    </row>
    <row r="5310" spans="1:20" ht="17.25" customHeight="1">
      <c r="A5310"/>
      <c r="B5310"/>
      <c r="P5310"/>
      <c r="R5310"/>
      <c r="S5310"/>
      <c r="T5310"/>
    </row>
    <row r="5311" spans="1:20" ht="17.25" customHeight="1">
      <c r="A5311"/>
      <c r="B5311"/>
      <c r="P5311"/>
      <c r="R5311"/>
      <c r="S5311"/>
      <c r="T5311"/>
    </row>
    <row r="5312" spans="1:20" ht="17.25" customHeight="1">
      <c r="A5312"/>
      <c r="B5312"/>
      <c r="P5312"/>
      <c r="R5312"/>
      <c r="S5312"/>
      <c r="T5312"/>
    </row>
    <row r="5313" spans="1:20" ht="17.25" customHeight="1">
      <c r="A5313"/>
      <c r="B5313"/>
      <c r="P5313"/>
      <c r="R5313"/>
      <c r="S5313"/>
      <c r="T5313"/>
    </row>
    <row r="5314" spans="1:20" ht="17.25" customHeight="1">
      <c r="A5314"/>
      <c r="B5314"/>
      <c r="P5314"/>
      <c r="R5314"/>
      <c r="S5314"/>
      <c r="T5314"/>
    </row>
    <row r="5315" spans="1:20" ht="17.25" customHeight="1">
      <c r="A5315"/>
      <c r="B5315"/>
      <c r="P5315"/>
      <c r="R5315"/>
      <c r="S5315"/>
      <c r="T5315"/>
    </row>
    <row r="5316" spans="1:20" ht="17.25" customHeight="1">
      <c r="A5316"/>
      <c r="B5316"/>
      <c r="P5316"/>
      <c r="R5316"/>
      <c r="S5316"/>
      <c r="T5316"/>
    </row>
    <row r="5317" spans="1:20" ht="17.25" customHeight="1">
      <c r="A5317"/>
      <c r="B5317"/>
      <c r="P5317"/>
      <c r="R5317"/>
      <c r="S5317"/>
      <c r="T5317"/>
    </row>
    <row r="5318" spans="1:20" ht="17.25" customHeight="1">
      <c r="A5318"/>
      <c r="B5318"/>
      <c r="P5318"/>
      <c r="R5318"/>
      <c r="S5318"/>
      <c r="T5318"/>
    </row>
    <row r="5319" spans="1:20" ht="17.25" customHeight="1">
      <c r="A5319"/>
      <c r="B5319"/>
      <c r="P5319"/>
      <c r="R5319"/>
      <c r="S5319"/>
      <c r="T5319"/>
    </row>
    <row r="5320" spans="1:20" ht="17.25" customHeight="1">
      <c r="A5320"/>
      <c r="B5320"/>
      <c r="P5320"/>
      <c r="R5320"/>
      <c r="S5320"/>
      <c r="T5320"/>
    </row>
    <row r="5321" spans="1:20" ht="17.25" customHeight="1">
      <c r="A5321"/>
      <c r="B5321"/>
      <c r="P5321"/>
      <c r="R5321"/>
      <c r="S5321"/>
      <c r="T5321"/>
    </row>
    <row r="5322" spans="1:20" ht="17.25" customHeight="1">
      <c r="A5322"/>
      <c r="B5322"/>
      <c r="P5322"/>
      <c r="R5322"/>
      <c r="S5322"/>
      <c r="T5322"/>
    </row>
    <row r="5323" spans="1:20" ht="17.25" customHeight="1">
      <c r="A5323"/>
      <c r="B5323"/>
      <c r="P5323"/>
      <c r="R5323"/>
      <c r="S5323"/>
      <c r="T5323"/>
    </row>
    <row r="5324" spans="1:20" ht="17.25" customHeight="1">
      <c r="A5324"/>
      <c r="B5324"/>
      <c r="P5324"/>
      <c r="R5324"/>
      <c r="S5324"/>
      <c r="T5324"/>
    </row>
    <row r="5325" spans="1:20" ht="17.25" customHeight="1">
      <c r="A5325"/>
      <c r="B5325"/>
      <c r="P5325"/>
      <c r="R5325"/>
      <c r="S5325"/>
      <c r="T5325"/>
    </row>
    <row r="5326" spans="1:20" ht="17.25" customHeight="1">
      <c r="A5326"/>
      <c r="B5326"/>
      <c r="P5326"/>
      <c r="R5326"/>
      <c r="S5326"/>
      <c r="T5326"/>
    </row>
    <row r="5327" spans="1:20" ht="17.25" customHeight="1">
      <c r="A5327"/>
      <c r="B5327"/>
      <c r="P5327"/>
      <c r="R5327"/>
      <c r="S5327"/>
      <c r="T5327"/>
    </row>
    <row r="5328" spans="1:20" ht="17.25" customHeight="1">
      <c r="A5328"/>
      <c r="B5328"/>
      <c r="P5328"/>
      <c r="R5328"/>
      <c r="S5328"/>
      <c r="T5328"/>
    </row>
    <row r="5329" spans="1:20" ht="17.25" customHeight="1">
      <c r="A5329"/>
      <c r="B5329"/>
      <c r="P5329"/>
      <c r="R5329"/>
      <c r="S5329"/>
      <c r="T5329"/>
    </row>
    <row r="5330" spans="1:20" ht="17.25" customHeight="1">
      <c r="A5330"/>
      <c r="B5330"/>
      <c r="P5330"/>
      <c r="R5330"/>
      <c r="S5330"/>
      <c r="T5330"/>
    </row>
    <row r="5331" spans="1:20" ht="17.25" customHeight="1">
      <c r="A5331"/>
      <c r="B5331"/>
      <c r="P5331"/>
      <c r="R5331"/>
      <c r="S5331"/>
      <c r="T5331"/>
    </row>
    <row r="5332" spans="1:20" ht="17.25" customHeight="1">
      <c r="A5332"/>
      <c r="B5332"/>
      <c r="P5332"/>
      <c r="R5332"/>
      <c r="S5332"/>
      <c r="T5332"/>
    </row>
    <row r="5333" spans="1:20" ht="17.25" customHeight="1">
      <c r="A5333"/>
      <c r="B5333"/>
      <c r="P5333"/>
      <c r="R5333"/>
      <c r="S5333"/>
      <c r="T5333"/>
    </row>
    <row r="5334" spans="1:20" ht="17.25" customHeight="1">
      <c r="A5334"/>
      <c r="B5334"/>
      <c r="P5334"/>
      <c r="R5334"/>
      <c r="S5334"/>
      <c r="T5334"/>
    </row>
    <row r="5335" spans="1:20" ht="17.25" customHeight="1">
      <c r="A5335"/>
      <c r="B5335"/>
      <c r="P5335"/>
      <c r="R5335"/>
      <c r="S5335"/>
      <c r="T5335"/>
    </row>
    <row r="5336" spans="1:20" ht="17.25" customHeight="1">
      <c r="A5336"/>
      <c r="B5336"/>
      <c r="P5336"/>
      <c r="R5336"/>
      <c r="S5336"/>
      <c r="T5336"/>
    </row>
    <row r="5337" spans="1:20" ht="17.25" customHeight="1">
      <c r="A5337"/>
      <c r="B5337"/>
      <c r="P5337"/>
      <c r="R5337"/>
      <c r="S5337"/>
      <c r="T5337"/>
    </row>
    <row r="5338" spans="1:20" ht="17.25" customHeight="1">
      <c r="A5338"/>
      <c r="B5338"/>
      <c r="P5338"/>
      <c r="R5338"/>
      <c r="S5338"/>
      <c r="T5338"/>
    </row>
    <row r="5339" spans="1:20" ht="17.25" customHeight="1">
      <c r="A5339"/>
      <c r="B5339"/>
      <c r="P5339"/>
      <c r="R5339"/>
      <c r="S5339"/>
      <c r="T5339"/>
    </row>
    <row r="5340" spans="1:20" ht="17.25" customHeight="1">
      <c r="A5340"/>
      <c r="B5340"/>
      <c r="P5340"/>
      <c r="R5340"/>
      <c r="S5340"/>
      <c r="T5340"/>
    </row>
    <row r="5341" spans="1:20" ht="17.25" customHeight="1">
      <c r="A5341"/>
      <c r="B5341"/>
      <c r="P5341"/>
      <c r="R5341"/>
      <c r="S5341"/>
      <c r="T5341"/>
    </row>
    <row r="5342" spans="1:20" ht="17.25" customHeight="1">
      <c r="A5342"/>
      <c r="B5342"/>
      <c r="P5342"/>
      <c r="R5342"/>
      <c r="S5342"/>
      <c r="T5342"/>
    </row>
    <row r="5343" spans="1:20" ht="17.25" customHeight="1">
      <c r="A5343"/>
      <c r="B5343"/>
      <c r="P5343"/>
      <c r="R5343"/>
      <c r="S5343"/>
      <c r="T5343"/>
    </row>
    <row r="5344" spans="1:20" ht="17.25" customHeight="1">
      <c r="A5344"/>
      <c r="B5344"/>
      <c r="P5344"/>
      <c r="R5344"/>
      <c r="S5344"/>
      <c r="T5344"/>
    </row>
    <row r="5345" spans="1:20" ht="17.25" customHeight="1">
      <c r="A5345"/>
      <c r="B5345"/>
      <c r="P5345"/>
      <c r="R5345"/>
      <c r="S5345"/>
      <c r="T5345"/>
    </row>
    <row r="5346" spans="1:20" ht="17.25" customHeight="1">
      <c r="A5346"/>
      <c r="B5346"/>
      <c r="P5346"/>
      <c r="R5346"/>
      <c r="S5346"/>
      <c r="T5346"/>
    </row>
    <row r="5347" spans="1:20" ht="17.25" customHeight="1">
      <c r="A5347"/>
      <c r="B5347"/>
      <c r="P5347"/>
      <c r="R5347"/>
      <c r="S5347"/>
      <c r="T5347"/>
    </row>
    <row r="5348" spans="1:20" ht="17.25" customHeight="1">
      <c r="A5348"/>
      <c r="B5348"/>
      <c r="P5348"/>
      <c r="R5348"/>
      <c r="S5348"/>
      <c r="T5348"/>
    </row>
    <row r="5349" spans="1:20" ht="17.25" customHeight="1">
      <c r="A5349"/>
      <c r="B5349"/>
      <c r="P5349"/>
      <c r="R5349"/>
      <c r="S5349"/>
      <c r="T5349"/>
    </row>
    <row r="5350" spans="1:20" ht="17.25" customHeight="1">
      <c r="A5350"/>
      <c r="B5350"/>
      <c r="P5350"/>
      <c r="R5350"/>
      <c r="S5350"/>
      <c r="T5350"/>
    </row>
    <row r="5351" spans="1:20" ht="17.25" customHeight="1">
      <c r="A5351"/>
      <c r="B5351"/>
      <c r="P5351"/>
      <c r="R5351"/>
      <c r="S5351"/>
      <c r="T5351"/>
    </row>
    <row r="5352" spans="1:20" ht="17.25" customHeight="1">
      <c r="A5352"/>
      <c r="B5352"/>
      <c r="P5352"/>
      <c r="R5352"/>
      <c r="S5352"/>
      <c r="T5352"/>
    </row>
    <row r="5353" spans="1:20" ht="17.25" customHeight="1">
      <c r="A5353"/>
      <c r="B5353"/>
      <c r="P5353"/>
      <c r="R5353"/>
      <c r="S5353"/>
      <c r="T5353"/>
    </row>
    <row r="5354" spans="1:20" ht="17.25" customHeight="1">
      <c r="A5354"/>
      <c r="B5354"/>
      <c r="P5354"/>
      <c r="R5354"/>
      <c r="S5354"/>
      <c r="T5354"/>
    </row>
    <row r="5355" spans="1:20" ht="17.25" customHeight="1">
      <c r="A5355"/>
      <c r="B5355"/>
      <c r="P5355"/>
      <c r="R5355"/>
      <c r="S5355"/>
      <c r="T5355"/>
    </row>
    <row r="5356" spans="1:20" ht="17.25" customHeight="1">
      <c r="A5356"/>
      <c r="B5356"/>
      <c r="P5356"/>
      <c r="R5356"/>
      <c r="S5356"/>
      <c r="T5356"/>
    </row>
    <row r="5357" spans="1:20" ht="17.25" customHeight="1">
      <c r="A5357"/>
      <c r="B5357"/>
      <c r="P5357"/>
      <c r="R5357"/>
      <c r="S5357"/>
      <c r="T5357"/>
    </row>
    <row r="5358" spans="1:20" ht="17.25" customHeight="1">
      <c r="A5358"/>
      <c r="B5358"/>
      <c r="P5358"/>
      <c r="R5358"/>
      <c r="S5358"/>
      <c r="T5358"/>
    </row>
    <row r="5359" spans="1:20" ht="17.25" customHeight="1">
      <c r="A5359"/>
      <c r="B5359"/>
      <c r="P5359"/>
      <c r="R5359"/>
      <c r="S5359"/>
      <c r="T5359"/>
    </row>
    <row r="5360" spans="1:20" ht="17.25" customHeight="1">
      <c r="A5360"/>
      <c r="B5360"/>
      <c r="P5360"/>
      <c r="R5360"/>
      <c r="S5360"/>
      <c r="T5360"/>
    </row>
    <row r="5361" spans="1:20" ht="17.25" customHeight="1">
      <c r="A5361"/>
      <c r="B5361"/>
      <c r="P5361"/>
      <c r="R5361"/>
      <c r="S5361"/>
      <c r="T5361"/>
    </row>
    <row r="5362" spans="1:20" ht="17.25" customHeight="1">
      <c r="A5362"/>
      <c r="B5362"/>
      <c r="P5362"/>
      <c r="R5362"/>
      <c r="S5362"/>
      <c r="T5362"/>
    </row>
    <row r="5363" spans="1:20" ht="17.25" customHeight="1">
      <c r="A5363"/>
      <c r="B5363"/>
      <c r="P5363"/>
      <c r="R5363"/>
      <c r="S5363"/>
      <c r="T5363"/>
    </row>
    <row r="5364" spans="1:20" ht="17.25" customHeight="1">
      <c r="A5364"/>
      <c r="B5364"/>
      <c r="P5364"/>
      <c r="R5364"/>
      <c r="S5364"/>
      <c r="T5364"/>
    </row>
    <row r="5365" spans="1:20" ht="17.25" customHeight="1">
      <c r="A5365"/>
      <c r="B5365"/>
      <c r="P5365"/>
      <c r="R5365"/>
      <c r="S5365"/>
      <c r="T5365"/>
    </row>
    <row r="5366" spans="1:20" ht="17.25" customHeight="1">
      <c r="A5366"/>
      <c r="B5366"/>
      <c r="P5366"/>
      <c r="R5366"/>
      <c r="S5366"/>
      <c r="T5366"/>
    </row>
    <row r="5367" spans="1:20" ht="17.25" customHeight="1">
      <c r="A5367"/>
      <c r="B5367"/>
      <c r="P5367"/>
      <c r="R5367"/>
      <c r="S5367"/>
      <c r="T5367"/>
    </row>
    <row r="5368" spans="1:20" ht="17.25" customHeight="1">
      <c r="A5368"/>
      <c r="B5368"/>
      <c r="P5368"/>
      <c r="R5368"/>
      <c r="S5368"/>
      <c r="T5368"/>
    </row>
    <row r="5369" spans="1:20" ht="17.25" customHeight="1">
      <c r="A5369"/>
      <c r="B5369"/>
      <c r="P5369"/>
      <c r="R5369"/>
      <c r="S5369"/>
      <c r="T5369"/>
    </row>
    <row r="5370" spans="1:20" ht="17.25" customHeight="1">
      <c r="A5370"/>
      <c r="B5370"/>
      <c r="P5370"/>
      <c r="R5370"/>
      <c r="S5370"/>
      <c r="T5370"/>
    </row>
    <row r="5371" spans="1:20" ht="17.25" customHeight="1">
      <c r="A5371"/>
      <c r="B5371"/>
      <c r="P5371"/>
      <c r="R5371"/>
      <c r="S5371"/>
      <c r="T5371"/>
    </row>
    <row r="5372" spans="1:20" ht="17.25" customHeight="1">
      <c r="A5372"/>
      <c r="B5372"/>
      <c r="P5372"/>
      <c r="R5372"/>
      <c r="S5372"/>
      <c r="T5372"/>
    </row>
    <row r="5373" spans="1:20" ht="17.25" customHeight="1">
      <c r="A5373"/>
      <c r="B5373"/>
      <c r="P5373"/>
      <c r="R5373"/>
      <c r="S5373"/>
      <c r="T5373"/>
    </row>
    <row r="5374" spans="1:20" ht="17.25" customHeight="1">
      <c r="A5374"/>
      <c r="B5374"/>
      <c r="P5374"/>
      <c r="R5374"/>
      <c r="S5374"/>
      <c r="T5374"/>
    </row>
    <row r="5375" spans="1:20" ht="17.25" customHeight="1">
      <c r="A5375"/>
      <c r="B5375"/>
      <c r="P5375"/>
      <c r="R5375"/>
      <c r="S5375"/>
      <c r="T5375"/>
    </row>
    <row r="5376" spans="1:20" ht="17.25" customHeight="1">
      <c r="A5376"/>
      <c r="B5376"/>
      <c r="P5376"/>
      <c r="R5376"/>
      <c r="S5376"/>
      <c r="T5376"/>
    </row>
    <row r="5377" spans="1:20" ht="17.25" customHeight="1">
      <c r="A5377"/>
      <c r="B5377"/>
      <c r="P5377"/>
      <c r="R5377"/>
      <c r="S5377"/>
      <c r="T5377"/>
    </row>
    <row r="5378" spans="1:20" ht="17.25" customHeight="1">
      <c r="A5378"/>
      <c r="B5378"/>
      <c r="P5378"/>
      <c r="R5378"/>
      <c r="S5378"/>
      <c r="T5378"/>
    </row>
    <row r="5379" spans="1:20" ht="17.25" customHeight="1">
      <c r="A5379"/>
      <c r="B5379"/>
      <c r="P5379"/>
      <c r="R5379"/>
      <c r="S5379"/>
      <c r="T5379"/>
    </row>
    <row r="5380" spans="1:20" ht="17.25" customHeight="1">
      <c r="A5380"/>
      <c r="B5380"/>
      <c r="P5380"/>
      <c r="R5380"/>
      <c r="S5380"/>
      <c r="T5380"/>
    </row>
    <row r="5381" spans="1:20" ht="17.25" customHeight="1">
      <c r="A5381"/>
      <c r="B5381"/>
      <c r="P5381"/>
      <c r="R5381"/>
      <c r="S5381"/>
      <c r="T5381"/>
    </row>
    <row r="5382" spans="1:20" ht="17.25" customHeight="1">
      <c r="A5382"/>
      <c r="B5382"/>
      <c r="P5382"/>
      <c r="R5382"/>
      <c r="S5382"/>
      <c r="T5382"/>
    </row>
    <row r="5383" spans="1:20" ht="17.25" customHeight="1">
      <c r="A5383"/>
      <c r="B5383"/>
      <c r="P5383"/>
      <c r="R5383"/>
      <c r="S5383"/>
      <c r="T5383"/>
    </row>
    <row r="5384" spans="1:20" ht="17.25" customHeight="1">
      <c r="A5384"/>
      <c r="B5384"/>
      <c r="P5384"/>
      <c r="R5384"/>
      <c r="S5384"/>
      <c r="T5384"/>
    </row>
    <row r="5385" spans="1:20" ht="17.25" customHeight="1">
      <c r="A5385"/>
      <c r="B5385"/>
      <c r="P5385"/>
      <c r="R5385"/>
      <c r="S5385"/>
      <c r="T5385"/>
    </row>
    <row r="5386" spans="1:20" ht="17.25" customHeight="1">
      <c r="A5386"/>
      <c r="B5386"/>
      <c r="P5386"/>
      <c r="R5386"/>
      <c r="S5386"/>
      <c r="T5386"/>
    </row>
    <row r="5387" spans="1:20" ht="17.25" customHeight="1">
      <c r="A5387"/>
      <c r="B5387"/>
      <c r="P5387"/>
      <c r="R5387"/>
      <c r="S5387"/>
      <c r="T5387"/>
    </row>
    <row r="5388" spans="1:20" ht="17.25" customHeight="1">
      <c r="A5388"/>
      <c r="B5388"/>
      <c r="P5388"/>
      <c r="R5388"/>
      <c r="S5388"/>
      <c r="T5388"/>
    </row>
    <row r="5389" spans="1:20" ht="17.25" customHeight="1">
      <c r="A5389"/>
      <c r="B5389"/>
      <c r="P5389"/>
      <c r="R5389"/>
      <c r="S5389"/>
      <c r="T5389"/>
    </row>
    <row r="5390" spans="1:20" ht="17.25" customHeight="1">
      <c r="A5390"/>
      <c r="B5390"/>
      <c r="P5390"/>
      <c r="R5390"/>
      <c r="S5390"/>
      <c r="T5390"/>
    </row>
    <row r="5391" spans="1:20" ht="17.25" customHeight="1">
      <c r="A5391"/>
      <c r="B5391"/>
      <c r="P5391"/>
      <c r="R5391"/>
      <c r="S5391"/>
      <c r="T5391"/>
    </row>
    <row r="5392" spans="1:20" ht="17.25" customHeight="1">
      <c r="A5392"/>
      <c r="B5392"/>
      <c r="P5392"/>
      <c r="R5392"/>
      <c r="S5392"/>
      <c r="T5392"/>
    </row>
    <row r="5393" spans="1:20" ht="17.25" customHeight="1">
      <c r="A5393"/>
      <c r="B5393"/>
      <c r="P5393"/>
      <c r="R5393"/>
      <c r="S5393"/>
      <c r="T5393"/>
    </row>
    <row r="5394" spans="1:20" ht="17.25" customHeight="1">
      <c r="A5394"/>
      <c r="B5394"/>
      <c r="P5394"/>
      <c r="R5394"/>
      <c r="S5394"/>
      <c r="T5394"/>
    </row>
    <row r="5395" spans="1:20" ht="17.25" customHeight="1">
      <c r="A5395"/>
      <c r="B5395"/>
      <c r="P5395"/>
      <c r="R5395"/>
      <c r="S5395"/>
      <c r="T5395"/>
    </row>
    <row r="5396" spans="1:20" ht="17.25" customHeight="1">
      <c r="A5396"/>
      <c r="B5396"/>
      <c r="P5396"/>
      <c r="R5396"/>
      <c r="S5396"/>
      <c r="T5396"/>
    </row>
    <row r="5397" spans="1:20" ht="17.25" customHeight="1">
      <c r="A5397"/>
      <c r="B5397"/>
      <c r="P5397"/>
      <c r="R5397"/>
      <c r="S5397"/>
      <c r="T5397"/>
    </row>
    <row r="5398" spans="1:20" ht="17.25" customHeight="1">
      <c r="A5398"/>
      <c r="B5398"/>
      <c r="P5398"/>
      <c r="R5398"/>
      <c r="S5398"/>
      <c r="T5398"/>
    </row>
    <row r="5399" spans="1:20" ht="17.25" customHeight="1">
      <c r="A5399"/>
      <c r="B5399"/>
      <c r="P5399"/>
      <c r="R5399"/>
      <c r="S5399"/>
      <c r="T5399"/>
    </row>
    <row r="5400" spans="1:20" ht="17.25" customHeight="1">
      <c r="A5400"/>
      <c r="B5400"/>
      <c r="P5400"/>
      <c r="R5400"/>
      <c r="S5400"/>
      <c r="T5400"/>
    </row>
    <row r="5401" spans="1:20" ht="17.25" customHeight="1">
      <c r="A5401"/>
      <c r="B5401"/>
      <c r="P5401"/>
      <c r="R5401"/>
      <c r="S5401"/>
      <c r="T5401"/>
    </row>
    <row r="5402" spans="1:20" ht="17.25" customHeight="1">
      <c r="A5402"/>
      <c r="B5402"/>
      <c r="P5402"/>
      <c r="R5402"/>
      <c r="S5402"/>
      <c r="T5402"/>
    </row>
    <row r="5403" spans="1:20" ht="17.25" customHeight="1">
      <c r="A5403"/>
      <c r="B5403"/>
      <c r="P5403"/>
      <c r="R5403"/>
      <c r="S5403"/>
      <c r="T5403"/>
    </row>
    <row r="5404" spans="1:20" ht="17.25" customHeight="1">
      <c r="A5404"/>
      <c r="B5404"/>
      <c r="P5404"/>
      <c r="R5404"/>
      <c r="S5404"/>
      <c r="T5404"/>
    </row>
    <row r="5405" spans="1:20" ht="17.25" customHeight="1">
      <c r="A5405"/>
      <c r="B5405"/>
      <c r="P5405"/>
      <c r="R5405"/>
      <c r="S5405"/>
      <c r="T5405"/>
    </row>
    <row r="5406" spans="1:20" ht="17.25" customHeight="1">
      <c r="A5406"/>
      <c r="B5406"/>
      <c r="P5406"/>
      <c r="R5406"/>
      <c r="S5406"/>
      <c r="T5406"/>
    </row>
    <row r="5407" spans="1:20" ht="17.25" customHeight="1">
      <c r="A5407"/>
      <c r="B5407"/>
      <c r="P5407"/>
      <c r="R5407"/>
      <c r="S5407"/>
      <c r="T5407"/>
    </row>
    <row r="5408" spans="1:20" ht="17.25" customHeight="1">
      <c r="A5408"/>
      <c r="B5408"/>
      <c r="P5408"/>
      <c r="R5408"/>
      <c r="S5408"/>
      <c r="T5408"/>
    </row>
    <row r="5409" spans="1:20" ht="17.25" customHeight="1">
      <c r="A5409"/>
      <c r="B5409"/>
      <c r="P5409"/>
      <c r="R5409"/>
      <c r="S5409"/>
      <c r="T5409"/>
    </row>
    <row r="5410" spans="1:20" ht="17.25" customHeight="1">
      <c r="A5410"/>
      <c r="B5410"/>
      <c r="P5410"/>
      <c r="R5410"/>
      <c r="S5410"/>
      <c r="T5410"/>
    </row>
    <row r="5411" spans="1:20" ht="17.25" customHeight="1">
      <c r="A5411"/>
      <c r="B5411"/>
      <c r="P5411"/>
      <c r="R5411"/>
      <c r="S5411"/>
      <c r="T5411"/>
    </row>
    <row r="5412" spans="1:20" ht="17.25" customHeight="1">
      <c r="A5412"/>
      <c r="B5412"/>
      <c r="P5412"/>
      <c r="R5412"/>
      <c r="S5412"/>
      <c r="T5412"/>
    </row>
    <row r="5413" spans="1:20" ht="17.25" customHeight="1">
      <c r="A5413"/>
      <c r="B5413"/>
      <c r="P5413"/>
      <c r="R5413"/>
      <c r="S5413"/>
      <c r="T5413"/>
    </row>
    <row r="5414" spans="1:20" ht="17.25" customHeight="1">
      <c r="A5414"/>
      <c r="B5414"/>
      <c r="P5414"/>
      <c r="R5414"/>
      <c r="S5414"/>
      <c r="T5414"/>
    </row>
    <row r="5415" spans="1:20" ht="17.25" customHeight="1">
      <c r="A5415"/>
      <c r="B5415"/>
      <c r="P5415"/>
      <c r="R5415"/>
      <c r="S5415"/>
      <c r="T5415"/>
    </row>
    <row r="5416" spans="1:20" ht="17.25" customHeight="1">
      <c r="A5416"/>
      <c r="B5416"/>
      <c r="P5416"/>
      <c r="R5416"/>
      <c r="S5416"/>
      <c r="T5416"/>
    </row>
    <row r="5417" spans="1:20" ht="17.25" customHeight="1">
      <c r="A5417"/>
      <c r="B5417"/>
      <c r="P5417"/>
      <c r="R5417"/>
      <c r="S5417"/>
      <c r="T5417"/>
    </row>
    <row r="5418" spans="1:20" ht="17.25" customHeight="1">
      <c r="A5418"/>
      <c r="B5418"/>
      <c r="P5418"/>
      <c r="R5418"/>
      <c r="S5418"/>
      <c r="T5418"/>
    </row>
    <row r="5419" spans="1:20" ht="17.25" customHeight="1">
      <c r="A5419"/>
      <c r="B5419"/>
      <c r="P5419"/>
      <c r="R5419"/>
      <c r="S5419"/>
      <c r="T5419"/>
    </row>
    <row r="5420" spans="1:20" ht="17.25" customHeight="1">
      <c r="A5420"/>
      <c r="B5420"/>
      <c r="P5420"/>
      <c r="R5420"/>
      <c r="S5420"/>
      <c r="T5420"/>
    </row>
    <row r="5421" spans="1:20" ht="17.25" customHeight="1">
      <c r="A5421"/>
      <c r="B5421"/>
      <c r="P5421"/>
      <c r="R5421"/>
      <c r="S5421"/>
      <c r="T5421"/>
    </row>
    <row r="5422" spans="1:20" ht="17.25" customHeight="1">
      <c r="A5422"/>
      <c r="B5422"/>
      <c r="P5422"/>
      <c r="R5422"/>
      <c r="S5422"/>
      <c r="T5422"/>
    </row>
    <row r="5423" spans="1:20" ht="17.25" customHeight="1">
      <c r="A5423"/>
      <c r="B5423"/>
      <c r="P5423"/>
      <c r="R5423"/>
      <c r="S5423"/>
      <c r="T5423"/>
    </row>
    <row r="5424" spans="1:20" ht="17.25" customHeight="1">
      <c r="A5424"/>
      <c r="B5424"/>
      <c r="P5424"/>
      <c r="R5424"/>
      <c r="S5424"/>
      <c r="T5424"/>
    </row>
    <row r="5425" spans="1:20" ht="17.25" customHeight="1">
      <c r="A5425"/>
      <c r="B5425"/>
      <c r="P5425"/>
      <c r="R5425"/>
      <c r="S5425"/>
      <c r="T5425"/>
    </row>
    <row r="5426" spans="1:20" ht="17.25" customHeight="1">
      <c r="A5426"/>
      <c r="B5426"/>
      <c r="P5426"/>
      <c r="R5426"/>
      <c r="S5426"/>
      <c r="T5426"/>
    </row>
    <row r="5427" spans="1:20" ht="17.25" customHeight="1">
      <c r="A5427"/>
      <c r="B5427"/>
      <c r="P5427"/>
      <c r="R5427"/>
      <c r="S5427"/>
      <c r="T5427"/>
    </row>
    <row r="5428" spans="1:20" ht="17.25" customHeight="1">
      <c r="A5428"/>
      <c r="B5428"/>
      <c r="P5428"/>
      <c r="R5428"/>
      <c r="S5428"/>
      <c r="T5428"/>
    </row>
    <row r="5429" spans="1:20" ht="17.25" customHeight="1">
      <c r="A5429"/>
      <c r="B5429"/>
      <c r="P5429"/>
      <c r="R5429"/>
      <c r="S5429"/>
      <c r="T5429"/>
    </row>
    <row r="5430" spans="1:20" ht="17.25" customHeight="1">
      <c r="A5430"/>
      <c r="B5430"/>
      <c r="P5430"/>
      <c r="R5430"/>
      <c r="S5430"/>
      <c r="T5430"/>
    </row>
    <row r="5431" spans="1:20" ht="17.25" customHeight="1">
      <c r="A5431"/>
      <c r="B5431"/>
      <c r="P5431"/>
      <c r="R5431"/>
      <c r="S5431"/>
      <c r="T5431"/>
    </row>
    <row r="5432" spans="1:20" ht="17.25" customHeight="1">
      <c r="A5432"/>
      <c r="B5432"/>
      <c r="P5432"/>
      <c r="R5432"/>
      <c r="S5432"/>
      <c r="T5432"/>
    </row>
    <row r="5433" spans="1:20" ht="17.25" customHeight="1">
      <c r="A5433"/>
      <c r="B5433"/>
      <c r="P5433"/>
      <c r="R5433"/>
      <c r="S5433"/>
      <c r="T5433"/>
    </row>
    <row r="5434" spans="1:20" ht="17.25" customHeight="1">
      <c r="A5434"/>
      <c r="B5434"/>
      <c r="P5434"/>
      <c r="R5434"/>
      <c r="S5434"/>
      <c r="T5434"/>
    </row>
    <row r="5435" spans="1:20" ht="17.25" customHeight="1">
      <c r="A5435"/>
      <c r="B5435"/>
      <c r="P5435"/>
      <c r="R5435"/>
      <c r="S5435"/>
      <c r="T5435"/>
    </row>
    <row r="5436" spans="1:20" ht="17.25" customHeight="1">
      <c r="A5436"/>
      <c r="B5436"/>
      <c r="P5436"/>
      <c r="R5436"/>
      <c r="S5436"/>
      <c r="T5436"/>
    </row>
    <row r="5437" spans="1:20" ht="17.25" customHeight="1">
      <c r="A5437"/>
      <c r="B5437"/>
      <c r="P5437"/>
      <c r="R5437"/>
      <c r="S5437"/>
      <c r="T5437"/>
    </row>
    <row r="5438" spans="1:20" ht="17.25" customHeight="1">
      <c r="A5438"/>
      <c r="B5438"/>
      <c r="P5438"/>
      <c r="R5438"/>
      <c r="S5438"/>
      <c r="T5438"/>
    </row>
    <row r="5439" spans="1:20" ht="17.25" customHeight="1">
      <c r="A5439"/>
      <c r="B5439"/>
      <c r="P5439"/>
      <c r="R5439"/>
      <c r="S5439"/>
      <c r="T5439"/>
    </row>
    <row r="5440" spans="1:20" ht="17.25" customHeight="1">
      <c r="A5440"/>
      <c r="B5440"/>
      <c r="P5440"/>
      <c r="R5440"/>
      <c r="S5440"/>
      <c r="T5440"/>
    </row>
    <row r="5441" spans="1:20" ht="17.25" customHeight="1">
      <c r="A5441"/>
      <c r="B5441"/>
      <c r="P5441"/>
      <c r="R5441"/>
      <c r="S5441"/>
      <c r="T5441"/>
    </row>
    <row r="5442" spans="1:20" ht="17.25" customHeight="1">
      <c r="A5442"/>
      <c r="B5442"/>
      <c r="P5442"/>
      <c r="R5442"/>
      <c r="S5442"/>
      <c r="T5442"/>
    </row>
    <row r="5443" spans="1:20" ht="17.25" customHeight="1">
      <c r="A5443"/>
      <c r="B5443"/>
      <c r="P5443"/>
      <c r="R5443"/>
      <c r="S5443"/>
      <c r="T5443"/>
    </row>
    <row r="5444" spans="1:20" ht="17.25" customHeight="1">
      <c r="A5444"/>
      <c r="B5444"/>
      <c r="P5444"/>
      <c r="R5444"/>
      <c r="S5444"/>
      <c r="T5444"/>
    </row>
    <row r="5445" spans="1:20" ht="17.25" customHeight="1">
      <c r="A5445"/>
      <c r="B5445"/>
      <c r="P5445"/>
      <c r="R5445"/>
      <c r="S5445"/>
      <c r="T5445"/>
    </row>
    <row r="5446" spans="1:20" ht="17.25" customHeight="1">
      <c r="A5446"/>
      <c r="B5446"/>
      <c r="P5446"/>
      <c r="R5446"/>
      <c r="S5446"/>
      <c r="T5446"/>
    </row>
    <row r="5447" spans="1:20" ht="17.25" customHeight="1">
      <c r="A5447"/>
      <c r="B5447"/>
      <c r="P5447"/>
      <c r="R5447"/>
      <c r="S5447"/>
      <c r="T5447"/>
    </row>
    <row r="5448" spans="1:20" ht="17.25" customHeight="1">
      <c r="A5448"/>
      <c r="B5448"/>
      <c r="P5448"/>
      <c r="R5448"/>
      <c r="S5448"/>
      <c r="T5448"/>
    </row>
    <row r="5449" spans="1:20" ht="17.25" customHeight="1">
      <c r="A5449"/>
      <c r="B5449"/>
      <c r="P5449"/>
      <c r="R5449"/>
      <c r="S5449"/>
      <c r="T5449"/>
    </row>
    <row r="5450" spans="1:20" ht="17.25" customHeight="1">
      <c r="A5450"/>
      <c r="B5450"/>
      <c r="P5450"/>
      <c r="R5450"/>
      <c r="S5450"/>
      <c r="T5450"/>
    </row>
    <row r="5451" spans="1:20" ht="17.25" customHeight="1">
      <c r="A5451"/>
      <c r="B5451"/>
      <c r="P5451"/>
      <c r="R5451"/>
      <c r="S5451"/>
      <c r="T5451"/>
    </row>
    <row r="5452" spans="1:20" ht="17.25" customHeight="1">
      <c r="A5452"/>
      <c r="B5452"/>
      <c r="P5452"/>
      <c r="R5452"/>
      <c r="S5452"/>
      <c r="T5452"/>
    </row>
    <row r="5453" spans="1:20" ht="17.25" customHeight="1">
      <c r="A5453"/>
      <c r="B5453"/>
      <c r="P5453"/>
      <c r="R5453"/>
      <c r="S5453"/>
      <c r="T5453"/>
    </row>
    <row r="5454" spans="1:20" ht="17.25" customHeight="1">
      <c r="A5454"/>
      <c r="B5454"/>
      <c r="P5454"/>
      <c r="R5454"/>
      <c r="S5454"/>
      <c r="T5454"/>
    </row>
    <row r="5455" spans="1:20" ht="17.25" customHeight="1">
      <c r="A5455"/>
      <c r="B5455"/>
      <c r="P5455"/>
      <c r="R5455"/>
      <c r="S5455"/>
      <c r="T5455"/>
    </row>
    <row r="5456" spans="1:20" ht="17.25" customHeight="1">
      <c r="A5456"/>
      <c r="B5456"/>
      <c r="P5456"/>
      <c r="R5456"/>
      <c r="S5456"/>
      <c r="T5456"/>
    </row>
    <row r="5457" spans="1:20" ht="17.25" customHeight="1">
      <c r="A5457"/>
      <c r="B5457"/>
      <c r="P5457"/>
      <c r="R5457"/>
      <c r="S5457"/>
      <c r="T5457"/>
    </row>
    <row r="5458" spans="1:20" ht="17.25" customHeight="1">
      <c r="A5458"/>
      <c r="B5458"/>
      <c r="P5458"/>
      <c r="R5458"/>
      <c r="S5458"/>
      <c r="T5458"/>
    </row>
    <row r="5459" spans="1:20" ht="17.25" customHeight="1">
      <c r="A5459"/>
      <c r="B5459"/>
      <c r="P5459"/>
      <c r="R5459"/>
      <c r="S5459"/>
      <c r="T5459"/>
    </row>
    <row r="5460" spans="1:20" ht="17.25" customHeight="1">
      <c r="A5460"/>
      <c r="B5460"/>
      <c r="P5460"/>
      <c r="R5460"/>
      <c r="S5460"/>
      <c r="T5460"/>
    </row>
    <row r="5461" spans="1:20" ht="17.25" customHeight="1">
      <c r="A5461"/>
      <c r="B5461"/>
      <c r="P5461"/>
      <c r="R5461"/>
      <c r="S5461"/>
      <c r="T5461"/>
    </row>
    <row r="5462" spans="1:20" ht="17.25" customHeight="1">
      <c r="A5462"/>
      <c r="B5462"/>
      <c r="P5462"/>
      <c r="R5462"/>
      <c r="S5462"/>
      <c r="T5462"/>
    </row>
    <row r="5463" spans="1:20" ht="17.25" customHeight="1">
      <c r="A5463"/>
      <c r="B5463"/>
      <c r="P5463"/>
      <c r="R5463"/>
      <c r="S5463"/>
      <c r="T5463"/>
    </row>
    <row r="5464" spans="1:20" ht="17.25" customHeight="1">
      <c r="A5464"/>
      <c r="B5464"/>
      <c r="P5464"/>
      <c r="R5464"/>
      <c r="S5464"/>
      <c r="T5464"/>
    </row>
    <row r="5465" spans="1:20" ht="17.25" customHeight="1">
      <c r="A5465"/>
      <c r="B5465"/>
      <c r="P5465"/>
      <c r="R5465"/>
      <c r="S5465"/>
      <c r="T5465"/>
    </row>
    <row r="5466" spans="1:20" ht="17.25" customHeight="1">
      <c r="A5466"/>
      <c r="B5466"/>
      <c r="P5466"/>
      <c r="R5466"/>
      <c r="S5466"/>
      <c r="T5466"/>
    </row>
    <row r="5467" spans="1:20" ht="17.25" customHeight="1">
      <c r="A5467"/>
      <c r="B5467"/>
      <c r="P5467"/>
      <c r="R5467"/>
      <c r="S5467"/>
      <c r="T5467"/>
    </row>
    <row r="5468" spans="1:20" ht="17.25" customHeight="1">
      <c r="A5468"/>
      <c r="B5468"/>
      <c r="P5468"/>
      <c r="R5468"/>
      <c r="S5468"/>
      <c r="T5468"/>
    </row>
    <row r="5469" spans="1:20" ht="17.25" customHeight="1">
      <c r="A5469"/>
      <c r="B5469"/>
      <c r="P5469"/>
      <c r="R5469"/>
      <c r="S5469"/>
      <c r="T5469"/>
    </row>
    <row r="5470" spans="1:20" ht="17.25" customHeight="1">
      <c r="A5470"/>
      <c r="B5470"/>
      <c r="P5470"/>
      <c r="R5470"/>
      <c r="S5470"/>
      <c r="T5470"/>
    </row>
    <row r="5471" spans="1:20" ht="17.25" customHeight="1">
      <c r="A5471"/>
      <c r="B5471"/>
      <c r="P5471"/>
      <c r="R5471"/>
      <c r="S5471"/>
      <c r="T5471"/>
    </row>
    <row r="5472" spans="1:20" ht="17.25" customHeight="1">
      <c r="A5472"/>
      <c r="B5472"/>
      <c r="P5472"/>
      <c r="R5472"/>
      <c r="S5472"/>
      <c r="T5472"/>
    </row>
    <row r="5473" spans="1:20" ht="17.25" customHeight="1">
      <c r="A5473"/>
      <c r="B5473"/>
      <c r="P5473"/>
      <c r="R5473"/>
      <c r="S5473"/>
      <c r="T5473"/>
    </row>
    <row r="5474" spans="1:20" ht="17.25" customHeight="1">
      <c r="A5474"/>
      <c r="B5474"/>
      <c r="P5474"/>
      <c r="R5474"/>
      <c r="S5474"/>
      <c r="T5474"/>
    </row>
    <row r="5475" spans="1:20" ht="17.25" customHeight="1">
      <c r="A5475"/>
      <c r="B5475"/>
      <c r="P5475"/>
      <c r="R5475"/>
      <c r="S5475"/>
      <c r="T5475"/>
    </row>
    <row r="5476" spans="1:20" ht="17.25" customHeight="1">
      <c r="A5476"/>
      <c r="B5476"/>
      <c r="P5476"/>
      <c r="R5476"/>
      <c r="S5476"/>
      <c r="T5476"/>
    </row>
    <row r="5477" spans="1:20" ht="17.25" customHeight="1">
      <c r="A5477"/>
      <c r="B5477"/>
      <c r="P5477"/>
      <c r="R5477"/>
      <c r="S5477"/>
      <c r="T5477"/>
    </row>
    <row r="5478" spans="1:20" ht="17.25" customHeight="1">
      <c r="A5478"/>
      <c r="B5478"/>
      <c r="P5478"/>
      <c r="R5478"/>
      <c r="S5478"/>
      <c r="T5478"/>
    </row>
    <row r="5479" spans="1:20" ht="17.25" customHeight="1">
      <c r="A5479"/>
      <c r="B5479"/>
      <c r="P5479"/>
      <c r="R5479"/>
      <c r="S5479"/>
      <c r="T5479"/>
    </row>
    <row r="5480" spans="1:20" ht="17.25" customHeight="1">
      <c r="A5480"/>
      <c r="B5480"/>
      <c r="P5480"/>
      <c r="R5480"/>
      <c r="S5480"/>
      <c r="T5480"/>
    </row>
    <row r="5481" spans="1:20" ht="17.25" customHeight="1">
      <c r="A5481"/>
      <c r="B5481"/>
      <c r="P5481"/>
      <c r="R5481"/>
      <c r="S5481"/>
      <c r="T5481"/>
    </row>
    <row r="5482" spans="1:20" ht="17.25" customHeight="1">
      <c r="A5482"/>
      <c r="B5482"/>
      <c r="P5482"/>
      <c r="R5482"/>
      <c r="S5482"/>
      <c r="T5482"/>
    </row>
    <row r="5483" spans="1:20" ht="17.25" customHeight="1">
      <c r="A5483"/>
      <c r="B5483"/>
      <c r="P5483"/>
      <c r="R5483"/>
      <c r="S5483"/>
      <c r="T5483"/>
    </row>
    <row r="5484" spans="1:20" ht="17.25" customHeight="1">
      <c r="A5484"/>
      <c r="B5484"/>
      <c r="P5484"/>
      <c r="R5484"/>
      <c r="S5484"/>
      <c r="T5484"/>
    </row>
    <row r="5485" spans="1:20" ht="17.25" customHeight="1">
      <c r="A5485"/>
      <c r="B5485"/>
      <c r="P5485"/>
      <c r="R5485"/>
      <c r="S5485"/>
      <c r="T5485"/>
    </row>
    <row r="5486" spans="1:20" ht="17.25" customHeight="1">
      <c r="A5486"/>
      <c r="B5486"/>
      <c r="P5486"/>
      <c r="R5486"/>
      <c r="S5486"/>
      <c r="T5486"/>
    </row>
    <row r="5487" spans="1:20" ht="17.25" customHeight="1">
      <c r="A5487"/>
      <c r="B5487"/>
      <c r="P5487"/>
      <c r="R5487"/>
      <c r="S5487"/>
      <c r="T5487"/>
    </row>
    <row r="5488" spans="1:20" ht="17.25" customHeight="1">
      <c r="A5488"/>
      <c r="B5488"/>
      <c r="P5488"/>
      <c r="R5488"/>
      <c r="S5488"/>
      <c r="T5488"/>
    </row>
    <row r="5489" spans="1:20" ht="17.25" customHeight="1">
      <c r="A5489"/>
      <c r="B5489"/>
      <c r="P5489"/>
      <c r="R5489"/>
      <c r="S5489"/>
      <c r="T5489"/>
    </row>
    <row r="5490" spans="1:20" ht="17.25" customHeight="1">
      <c r="A5490"/>
      <c r="B5490"/>
      <c r="P5490"/>
      <c r="R5490"/>
      <c r="S5490"/>
      <c r="T5490"/>
    </row>
    <row r="5491" spans="1:20" ht="17.25" customHeight="1">
      <c r="A5491"/>
      <c r="B5491"/>
      <c r="P5491"/>
      <c r="R5491"/>
      <c r="S5491"/>
      <c r="T5491"/>
    </row>
    <row r="5492" spans="1:20" ht="17.25" customHeight="1">
      <c r="A5492"/>
      <c r="B5492"/>
      <c r="P5492"/>
      <c r="R5492"/>
      <c r="S5492"/>
      <c r="T5492"/>
    </row>
    <row r="5493" spans="1:20" ht="17.25" customHeight="1">
      <c r="A5493"/>
      <c r="B5493"/>
      <c r="P5493"/>
      <c r="R5493"/>
      <c r="S5493"/>
      <c r="T5493"/>
    </row>
    <row r="5494" spans="1:20" ht="17.25" customHeight="1">
      <c r="A5494"/>
      <c r="B5494"/>
      <c r="P5494"/>
      <c r="R5494"/>
      <c r="S5494"/>
      <c r="T5494"/>
    </row>
    <row r="5495" spans="1:20" ht="17.25" customHeight="1">
      <c r="A5495"/>
      <c r="B5495"/>
      <c r="P5495"/>
      <c r="R5495"/>
      <c r="S5495"/>
      <c r="T5495"/>
    </row>
    <row r="5496" spans="1:20" ht="17.25" customHeight="1">
      <c r="A5496"/>
      <c r="B5496"/>
      <c r="P5496"/>
      <c r="R5496"/>
      <c r="S5496"/>
      <c r="T5496"/>
    </row>
  </sheetData>
  <autoFilter ref="A1:X5496" xr:uid="{00000000-0001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358B2-64E4-2944-B91E-713CF666B37A}">
  <sheetPr filterMode="1"/>
  <dimension ref="A1:E385"/>
  <sheetViews>
    <sheetView topLeftCell="A57" zoomScale="134" workbookViewId="0">
      <selection activeCell="C279" sqref="C279"/>
    </sheetView>
  </sheetViews>
  <sheetFormatPr baseColWidth="10" defaultColWidth="8.83203125" defaultRowHeight="14"/>
  <cols>
    <col min="1" max="1" width="8.83203125" style="11"/>
    <col min="2" max="2" width="17.6640625" style="11" customWidth="1"/>
    <col min="3" max="3" width="58.33203125" style="11" customWidth="1"/>
    <col min="4" max="4" width="20.1640625" style="11" bestFit="1" customWidth="1"/>
    <col min="5" max="16384" width="8.83203125" style="11"/>
  </cols>
  <sheetData>
    <row r="1" spans="1:5">
      <c r="A1" s="11" t="s">
        <v>975</v>
      </c>
      <c r="B1" s="11" t="s">
        <v>2</v>
      </c>
      <c r="C1" s="11" t="s">
        <v>659</v>
      </c>
      <c r="D1" s="11" t="s">
        <v>657</v>
      </c>
    </row>
    <row r="2" spans="1:5" hidden="1">
      <c r="A2" s="11">
        <v>1001</v>
      </c>
      <c r="B2" s="11" t="s">
        <v>1234</v>
      </c>
      <c r="C2" s="11" t="s">
        <v>1232</v>
      </c>
    </row>
    <row r="3" spans="1:5" hidden="1">
      <c r="A3" s="11">
        <v>1002</v>
      </c>
      <c r="B3" s="11" t="s">
        <v>976</v>
      </c>
      <c r="C3" s="11" t="s">
        <v>974</v>
      </c>
      <c r="D3" s="11">
        <v>5</v>
      </c>
      <c r="E3" s="11">
        <v>1978</v>
      </c>
    </row>
    <row r="4" spans="1:5" hidden="1">
      <c r="A4" s="11">
        <v>1003</v>
      </c>
      <c r="B4" s="11" t="s">
        <v>977</v>
      </c>
      <c r="C4" s="11" t="s">
        <v>973</v>
      </c>
      <c r="D4" s="11">
        <v>1</v>
      </c>
      <c r="E4" s="11">
        <v>2014</v>
      </c>
    </row>
    <row r="5" spans="1:5" hidden="1">
      <c r="A5" s="11">
        <v>1004</v>
      </c>
      <c r="B5" s="11" t="s">
        <v>21</v>
      </c>
      <c r="C5" s="11" t="s">
        <v>676</v>
      </c>
      <c r="D5" s="11">
        <v>1</v>
      </c>
      <c r="E5" s="11">
        <v>2003</v>
      </c>
    </row>
    <row r="6" spans="1:5">
      <c r="A6" s="11">
        <v>1005</v>
      </c>
      <c r="B6" s="11" t="s">
        <v>978</v>
      </c>
      <c r="C6" s="11" t="s">
        <v>662</v>
      </c>
    </row>
    <row r="7" spans="1:5" hidden="1">
      <c r="A7" s="11">
        <v>1006</v>
      </c>
      <c r="B7" s="11" t="s">
        <v>94</v>
      </c>
      <c r="C7" s="11" t="s">
        <v>972</v>
      </c>
      <c r="D7" s="11">
        <v>11</v>
      </c>
      <c r="E7" s="11">
        <v>2015</v>
      </c>
    </row>
    <row r="8" spans="1:5" hidden="1">
      <c r="A8" s="11">
        <v>1007</v>
      </c>
      <c r="B8" s="11" t="s">
        <v>302</v>
      </c>
      <c r="C8" s="11" t="s">
        <v>971</v>
      </c>
      <c r="D8" s="11">
        <v>3</v>
      </c>
      <c r="E8" s="11">
        <v>2010</v>
      </c>
    </row>
    <row r="9" spans="1:5" hidden="1">
      <c r="A9" s="11">
        <v>1008</v>
      </c>
      <c r="B9" s="11" t="s">
        <v>447</v>
      </c>
      <c r="C9" s="11" t="s">
        <v>970</v>
      </c>
      <c r="D9" s="11">
        <v>7</v>
      </c>
      <c r="E9" s="11">
        <v>2008</v>
      </c>
    </row>
    <row r="10" spans="1:5">
      <c r="A10" s="11">
        <v>1009</v>
      </c>
      <c r="B10" s="11" t="s">
        <v>979</v>
      </c>
      <c r="C10" s="11" t="s">
        <v>662</v>
      </c>
    </row>
    <row r="11" spans="1:5" hidden="1">
      <c r="A11" s="11">
        <v>1010</v>
      </c>
      <c r="B11" s="11" t="s">
        <v>519</v>
      </c>
      <c r="C11" s="11" t="s">
        <v>817</v>
      </c>
      <c r="D11" s="11">
        <v>3</v>
      </c>
      <c r="E11" s="11">
        <v>2011</v>
      </c>
    </row>
    <row r="12" spans="1:5" hidden="1">
      <c r="A12" s="11">
        <v>1011</v>
      </c>
      <c r="B12" s="11" t="s">
        <v>980</v>
      </c>
      <c r="C12" s="11" t="s">
        <v>969</v>
      </c>
      <c r="D12" s="11">
        <v>1</v>
      </c>
      <c r="E12" s="11">
        <v>2005</v>
      </c>
    </row>
    <row r="13" spans="1:5" hidden="1">
      <c r="A13" s="11">
        <v>1012</v>
      </c>
      <c r="B13" s="11" t="s">
        <v>981</v>
      </c>
      <c r="C13" s="11" t="s">
        <v>675</v>
      </c>
      <c r="D13" s="11">
        <v>1</v>
      </c>
      <c r="E13" s="11">
        <v>2001</v>
      </c>
    </row>
    <row r="14" spans="1:5" hidden="1">
      <c r="A14" s="11">
        <v>1013</v>
      </c>
      <c r="B14" s="11" t="s">
        <v>982</v>
      </c>
      <c r="C14" s="11" t="s">
        <v>968</v>
      </c>
      <c r="D14" s="11">
        <v>1</v>
      </c>
      <c r="E14" s="11">
        <v>2011</v>
      </c>
    </row>
    <row r="15" spans="1:5" hidden="1">
      <c r="A15" s="11">
        <v>1014</v>
      </c>
      <c r="B15" s="11" t="s">
        <v>983</v>
      </c>
      <c r="C15" s="11" t="s">
        <v>967</v>
      </c>
      <c r="D15" s="11">
        <v>5</v>
      </c>
      <c r="E15" s="11">
        <v>2006</v>
      </c>
    </row>
    <row r="16" spans="1:5" hidden="1">
      <c r="A16" s="11">
        <v>1015</v>
      </c>
      <c r="B16" s="11" t="s">
        <v>544</v>
      </c>
      <c r="C16" s="11" t="s">
        <v>966</v>
      </c>
      <c r="D16" s="11">
        <v>1</v>
      </c>
      <c r="E16" s="11">
        <v>2003</v>
      </c>
    </row>
    <row r="17" spans="1:5">
      <c r="A17" s="11">
        <v>1016</v>
      </c>
      <c r="B17" s="11" t="s">
        <v>545</v>
      </c>
      <c r="C17" s="12" t="s">
        <v>965</v>
      </c>
      <c r="D17" s="11">
        <v>2</v>
      </c>
      <c r="E17" s="11">
        <v>2017</v>
      </c>
    </row>
    <row r="18" spans="1:5">
      <c r="A18" s="11">
        <v>1017</v>
      </c>
      <c r="B18" s="11" t="s">
        <v>546</v>
      </c>
      <c r="C18" s="11" t="s">
        <v>964</v>
      </c>
      <c r="D18" s="11">
        <v>5</v>
      </c>
      <c r="E18" s="11">
        <v>2005</v>
      </c>
    </row>
    <row r="19" spans="1:5" hidden="1">
      <c r="A19" s="11">
        <v>1018</v>
      </c>
      <c r="B19" s="11" t="s">
        <v>547</v>
      </c>
      <c r="C19" s="11" t="s">
        <v>963</v>
      </c>
      <c r="D19" s="11">
        <v>4</v>
      </c>
      <c r="E19" s="11">
        <v>2006</v>
      </c>
    </row>
    <row r="20" spans="1:5" hidden="1">
      <c r="A20" s="11">
        <v>1019</v>
      </c>
      <c r="B20" s="11" t="s">
        <v>548</v>
      </c>
      <c r="C20" s="11" t="s">
        <v>962</v>
      </c>
      <c r="D20" s="11">
        <v>10</v>
      </c>
      <c r="E20" s="11">
        <v>2010</v>
      </c>
    </row>
    <row r="21" spans="1:5" hidden="1">
      <c r="A21" s="11">
        <v>1020</v>
      </c>
      <c r="B21" s="11" t="s">
        <v>549</v>
      </c>
      <c r="C21" s="11" t="s">
        <v>961</v>
      </c>
      <c r="D21" s="11">
        <v>10</v>
      </c>
      <c r="E21" s="11">
        <v>2008</v>
      </c>
    </row>
    <row r="22" spans="1:5" hidden="1">
      <c r="A22" s="11">
        <v>1021</v>
      </c>
      <c r="B22" s="11" t="s">
        <v>550</v>
      </c>
      <c r="C22" s="11" t="s">
        <v>960</v>
      </c>
      <c r="D22" s="11">
        <v>5</v>
      </c>
      <c r="E22" s="11">
        <v>2006</v>
      </c>
    </row>
    <row r="23" spans="1:5" hidden="1">
      <c r="A23" s="11">
        <v>1022</v>
      </c>
      <c r="B23" s="11" t="s">
        <v>551</v>
      </c>
      <c r="C23" s="11" t="s">
        <v>959</v>
      </c>
      <c r="D23" s="11">
        <v>6</v>
      </c>
      <c r="E23" s="11">
        <v>2012</v>
      </c>
    </row>
    <row r="24" spans="1:5" hidden="1">
      <c r="A24" s="11">
        <v>1023</v>
      </c>
      <c r="B24" s="11" t="s">
        <v>984</v>
      </c>
      <c r="C24" s="11" t="s">
        <v>958</v>
      </c>
      <c r="D24" s="11">
        <v>10</v>
      </c>
      <c r="E24" s="11">
        <v>2007</v>
      </c>
    </row>
    <row r="25" spans="1:5" hidden="1">
      <c r="A25" s="11">
        <v>1024</v>
      </c>
      <c r="B25" s="11" t="s">
        <v>552</v>
      </c>
      <c r="C25" s="11" t="s">
        <v>957</v>
      </c>
      <c r="D25" s="11">
        <v>4</v>
      </c>
      <c r="E25" s="11">
        <v>2016</v>
      </c>
    </row>
    <row r="26" spans="1:5" hidden="1">
      <c r="A26" s="11">
        <v>1025</v>
      </c>
      <c r="B26" s="11" t="s">
        <v>553</v>
      </c>
      <c r="C26" s="11" t="s">
        <v>674</v>
      </c>
      <c r="D26" s="11">
        <v>7</v>
      </c>
      <c r="E26" s="11">
        <v>2009</v>
      </c>
    </row>
    <row r="27" spans="1:5" hidden="1">
      <c r="A27" s="11">
        <v>1026</v>
      </c>
      <c r="B27" s="11" t="s">
        <v>554</v>
      </c>
      <c r="C27" s="11" t="s">
        <v>956</v>
      </c>
      <c r="D27" s="11">
        <v>5</v>
      </c>
      <c r="E27" s="11">
        <v>2013</v>
      </c>
    </row>
    <row r="28" spans="1:5" hidden="1">
      <c r="A28" s="11">
        <v>1027</v>
      </c>
      <c r="B28" s="11" t="s">
        <v>1243</v>
      </c>
      <c r="C28" s="11" t="s">
        <v>1244</v>
      </c>
      <c r="D28" s="11">
        <v>1</v>
      </c>
      <c r="E28" s="11">
        <v>2002</v>
      </c>
    </row>
    <row r="29" spans="1:5" hidden="1">
      <c r="A29" s="11">
        <v>1028</v>
      </c>
      <c r="B29" s="11" t="s">
        <v>985</v>
      </c>
      <c r="C29" s="11" t="s">
        <v>955</v>
      </c>
      <c r="D29" s="11">
        <v>11</v>
      </c>
      <c r="E29" s="11">
        <v>2010</v>
      </c>
    </row>
    <row r="30" spans="1:5" hidden="1">
      <c r="A30" s="11">
        <v>1029</v>
      </c>
      <c r="B30" s="11" t="s">
        <v>986</v>
      </c>
      <c r="C30" s="11" t="s">
        <v>954</v>
      </c>
      <c r="D30" s="11">
        <v>10</v>
      </c>
      <c r="E30" s="11">
        <v>2007</v>
      </c>
    </row>
    <row r="31" spans="1:5" hidden="1">
      <c r="A31" s="11">
        <v>1030</v>
      </c>
      <c r="B31" s="11" t="s">
        <v>555</v>
      </c>
      <c r="C31" s="11" t="s">
        <v>701</v>
      </c>
      <c r="D31" s="11">
        <v>1</v>
      </c>
      <c r="E31" s="11">
        <v>2011</v>
      </c>
    </row>
    <row r="32" spans="1:5" hidden="1">
      <c r="A32" s="11">
        <v>1031</v>
      </c>
      <c r="B32" s="11" t="s">
        <v>556</v>
      </c>
      <c r="C32" s="11" t="s">
        <v>703</v>
      </c>
      <c r="D32" s="11">
        <v>7</v>
      </c>
      <c r="E32" s="11">
        <v>2011</v>
      </c>
    </row>
    <row r="33" spans="1:5" hidden="1">
      <c r="A33" s="11">
        <v>1032</v>
      </c>
      <c r="B33" s="11" t="s">
        <v>557</v>
      </c>
      <c r="C33" s="11" t="s">
        <v>783</v>
      </c>
      <c r="D33" s="11">
        <v>2</v>
      </c>
      <c r="E33" s="11">
        <v>2007</v>
      </c>
    </row>
    <row r="34" spans="1:5" hidden="1">
      <c r="A34" s="11">
        <v>1033</v>
      </c>
      <c r="B34" s="11" t="s">
        <v>558</v>
      </c>
      <c r="C34" s="11" t="s">
        <v>766</v>
      </c>
      <c r="D34" s="11">
        <v>12</v>
      </c>
      <c r="E34" s="11">
        <v>2006</v>
      </c>
    </row>
    <row r="35" spans="1:5" hidden="1">
      <c r="A35" s="11">
        <v>1034</v>
      </c>
      <c r="B35" s="11" t="s">
        <v>987</v>
      </c>
      <c r="C35" s="11" t="s">
        <v>953</v>
      </c>
      <c r="D35" s="11">
        <v>7</v>
      </c>
      <c r="E35" s="11">
        <v>2009</v>
      </c>
    </row>
    <row r="36" spans="1:5" hidden="1">
      <c r="A36" s="11">
        <v>1035</v>
      </c>
      <c r="B36" s="11" t="s">
        <v>559</v>
      </c>
      <c r="C36" s="11" t="s">
        <v>952</v>
      </c>
      <c r="D36" s="11">
        <v>9</v>
      </c>
      <c r="E36" s="11">
        <v>2009</v>
      </c>
    </row>
    <row r="37" spans="1:5" hidden="1">
      <c r="A37" s="11">
        <v>1036</v>
      </c>
      <c r="B37" s="11" t="s">
        <v>560</v>
      </c>
      <c r="C37" s="11" t="s">
        <v>673</v>
      </c>
      <c r="D37" s="11">
        <v>2</v>
      </c>
      <c r="E37" s="11">
        <v>2008</v>
      </c>
    </row>
    <row r="38" spans="1:5" hidden="1">
      <c r="A38" s="11">
        <v>1037</v>
      </c>
      <c r="B38" s="11" t="s">
        <v>561</v>
      </c>
      <c r="C38" s="11" t="s">
        <v>951</v>
      </c>
      <c r="D38" s="11">
        <v>7</v>
      </c>
      <c r="E38" s="11">
        <v>2009</v>
      </c>
    </row>
    <row r="39" spans="1:5" hidden="1">
      <c r="A39" s="11">
        <v>1038</v>
      </c>
      <c r="B39" s="11" t="s">
        <v>562</v>
      </c>
      <c r="C39" s="11" t="s">
        <v>950</v>
      </c>
      <c r="D39" s="11">
        <v>3</v>
      </c>
      <c r="E39" s="11">
        <v>2003</v>
      </c>
    </row>
    <row r="40" spans="1:5" hidden="1">
      <c r="A40" s="11">
        <v>1039</v>
      </c>
      <c r="B40" s="11" t="s">
        <v>988</v>
      </c>
      <c r="C40" s="11" t="s">
        <v>949</v>
      </c>
      <c r="D40" s="11">
        <v>10</v>
      </c>
      <c r="E40" s="11">
        <v>2007</v>
      </c>
    </row>
    <row r="41" spans="1:5" hidden="1">
      <c r="A41" s="11">
        <v>1040</v>
      </c>
      <c r="B41" s="11" t="s">
        <v>563</v>
      </c>
      <c r="C41" s="11" t="s">
        <v>672</v>
      </c>
      <c r="D41" s="11">
        <v>3</v>
      </c>
      <c r="E41" s="11">
        <v>2010</v>
      </c>
    </row>
    <row r="42" spans="1:5" hidden="1">
      <c r="A42" s="11">
        <v>1041</v>
      </c>
      <c r="B42" s="11" t="s">
        <v>564</v>
      </c>
      <c r="C42" s="11" t="s">
        <v>948</v>
      </c>
      <c r="D42" s="11">
        <v>1</v>
      </c>
      <c r="E42" s="11">
        <v>2012</v>
      </c>
    </row>
    <row r="43" spans="1:5" hidden="1">
      <c r="A43" s="11">
        <v>1042</v>
      </c>
      <c r="B43" s="11" t="s">
        <v>565</v>
      </c>
      <c r="C43" s="11" t="s">
        <v>811</v>
      </c>
      <c r="D43" s="11">
        <v>5</v>
      </c>
      <c r="E43" s="11">
        <v>2010</v>
      </c>
    </row>
    <row r="44" spans="1:5" hidden="1">
      <c r="A44" s="11">
        <v>1043</v>
      </c>
      <c r="B44" s="11" t="s">
        <v>566</v>
      </c>
      <c r="C44" s="11" t="s">
        <v>947</v>
      </c>
      <c r="D44" s="11">
        <v>7</v>
      </c>
      <c r="E44" s="11">
        <v>2005</v>
      </c>
    </row>
    <row r="45" spans="1:5">
      <c r="A45" s="11">
        <v>1044</v>
      </c>
      <c r="B45" s="11" t="s">
        <v>567</v>
      </c>
      <c r="C45" s="11" t="s">
        <v>946</v>
      </c>
      <c r="D45" s="11">
        <v>7</v>
      </c>
      <c r="E45" s="11">
        <v>2007</v>
      </c>
    </row>
    <row r="46" spans="1:5" hidden="1">
      <c r="A46" s="11">
        <v>1045</v>
      </c>
      <c r="B46" s="11" t="s">
        <v>568</v>
      </c>
      <c r="C46" s="11" t="s">
        <v>945</v>
      </c>
      <c r="D46" s="11">
        <v>5</v>
      </c>
      <c r="E46" s="11">
        <v>2017</v>
      </c>
    </row>
    <row r="47" spans="1:5" hidden="1">
      <c r="A47" s="11">
        <v>1046</v>
      </c>
      <c r="B47" s="11" t="s">
        <v>989</v>
      </c>
      <c r="C47" s="11" t="s">
        <v>944</v>
      </c>
      <c r="D47" s="11">
        <v>11</v>
      </c>
      <c r="E47" s="11">
        <v>2001</v>
      </c>
    </row>
    <row r="48" spans="1:5" hidden="1">
      <c r="A48" s="11">
        <v>1047</v>
      </c>
      <c r="B48" s="11" t="s">
        <v>990</v>
      </c>
      <c r="C48" s="11" t="s">
        <v>943</v>
      </c>
      <c r="D48" s="11">
        <v>1</v>
      </c>
      <c r="E48" s="11">
        <v>2011</v>
      </c>
    </row>
    <row r="49" spans="1:5" hidden="1">
      <c r="A49" s="11">
        <v>1048</v>
      </c>
      <c r="B49" s="11" t="s">
        <v>569</v>
      </c>
      <c r="C49" s="11" t="s">
        <v>942</v>
      </c>
      <c r="D49" s="11">
        <v>1</v>
      </c>
      <c r="E49" s="11">
        <v>2015</v>
      </c>
    </row>
    <row r="50" spans="1:5" hidden="1">
      <c r="A50" s="11">
        <v>1049</v>
      </c>
      <c r="B50" s="11" t="s">
        <v>570</v>
      </c>
      <c r="C50" s="11" t="s">
        <v>941</v>
      </c>
      <c r="D50" s="11">
        <v>10</v>
      </c>
      <c r="E50" s="11">
        <v>2016</v>
      </c>
    </row>
    <row r="51" spans="1:5" hidden="1">
      <c r="A51" s="11">
        <v>1050</v>
      </c>
      <c r="B51" s="11" t="s">
        <v>991</v>
      </c>
      <c r="C51" s="11" t="s">
        <v>940</v>
      </c>
      <c r="D51" s="11">
        <v>7</v>
      </c>
      <c r="E51" s="11">
        <v>2013</v>
      </c>
    </row>
    <row r="52" spans="1:5" hidden="1">
      <c r="A52" s="11">
        <v>1051</v>
      </c>
      <c r="B52" s="11" t="s">
        <v>571</v>
      </c>
      <c r="C52" s="11" t="s">
        <v>671</v>
      </c>
      <c r="D52" s="11">
        <v>8</v>
      </c>
      <c r="E52" s="11">
        <v>2006</v>
      </c>
    </row>
    <row r="53" spans="1:5" hidden="1">
      <c r="A53" s="11">
        <v>1052</v>
      </c>
      <c r="B53" s="11" t="s">
        <v>572</v>
      </c>
      <c r="C53" s="11" t="s">
        <v>939</v>
      </c>
      <c r="D53" s="11">
        <v>1</v>
      </c>
      <c r="E53" s="11">
        <v>2009</v>
      </c>
    </row>
    <row r="54" spans="1:5" hidden="1">
      <c r="A54" s="11">
        <v>1053</v>
      </c>
      <c r="B54" s="11" t="s">
        <v>573</v>
      </c>
      <c r="C54" s="11" t="s">
        <v>938</v>
      </c>
      <c r="D54" s="11">
        <v>6</v>
      </c>
      <c r="E54" s="11">
        <v>2006</v>
      </c>
    </row>
    <row r="55" spans="1:5">
      <c r="A55" s="11">
        <v>1054</v>
      </c>
      <c r="B55" s="11" t="s">
        <v>574</v>
      </c>
      <c r="C55" s="11" t="s">
        <v>1245</v>
      </c>
      <c r="D55" s="11">
        <v>5</v>
      </c>
      <c r="E55" s="11">
        <v>2017</v>
      </c>
    </row>
    <row r="56" spans="1:5" hidden="1">
      <c r="A56" s="11">
        <v>1055</v>
      </c>
      <c r="B56" s="11" t="s">
        <v>992</v>
      </c>
      <c r="C56" s="11" t="s">
        <v>937</v>
      </c>
      <c r="D56" s="11">
        <v>12</v>
      </c>
      <c r="E56" s="11">
        <v>2007</v>
      </c>
    </row>
    <row r="57" spans="1:5">
      <c r="A57" s="11">
        <v>1056</v>
      </c>
      <c r="B57" s="11" t="s">
        <v>993</v>
      </c>
      <c r="C57" s="11" t="s">
        <v>662</v>
      </c>
    </row>
    <row r="58" spans="1:5" hidden="1">
      <c r="A58" s="11">
        <v>1057</v>
      </c>
      <c r="B58" s="11" t="s">
        <v>994</v>
      </c>
      <c r="C58" s="11" t="s">
        <v>936</v>
      </c>
      <c r="D58" s="11">
        <v>1</v>
      </c>
      <c r="E58" s="11">
        <v>2005</v>
      </c>
    </row>
    <row r="59" spans="1:5" hidden="1">
      <c r="A59" s="11">
        <v>1058</v>
      </c>
      <c r="B59" s="11" t="s">
        <v>995</v>
      </c>
      <c r="C59" s="11" t="s">
        <v>935</v>
      </c>
      <c r="D59" s="11">
        <v>12</v>
      </c>
      <c r="E59" s="11">
        <v>2010</v>
      </c>
    </row>
    <row r="60" spans="1:5" hidden="1">
      <c r="A60" s="11">
        <v>1059</v>
      </c>
      <c r="B60" s="11" t="s">
        <v>575</v>
      </c>
      <c r="C60" s="11" t="s">
        <v>692</v>
      </c>
      <c r="D60" s="11">
        <v>1</v>
      </c>
      <c r="E60" s="11">
        <v>2009</v>
      </c>
    </row>
    <row r="61" spans="1:5" hidden="1">
      <c r="A61" s="11">
        <v>1060</v>
      </c>
      <c r="B61" s="11" t="s">
        <v>576</v>
      </c>
      <c r="C61" s="11" t="s">
        <v>934</v>
      </c>
      <c r="D61" s="11">
        <v>10</v>
      </c>
      <c r="E61" s="11">
        <v>2012</v>
      </c>
    </row>
    <row r="62" spans="1:5" hidden="1">
      <c r="A62" s="11">
        <v>1061</v>
      </c>
      <c r="B62" s="11" t="s">
        <v>577</v>
      </c>
      <c r="C62" s="11" t="s">
        <v>726</v>
      </c>
      <c r="D62" s="11">
        <v>1</v>
      </c>
      <c r="E62" s="11">
        <v>2015</v>
      </c>
    </row>
    <row r="63" spans="1:5" hidden="1">
      <c r="A63" s="11">
        <v>1062</v>
      </c>
      <c r="B63" s="11" t="s">
        <v>578</v>
      </c>
      <c r="C63" s="11" t="s">
        <v>933</v>
      </c>
      <c r="D63" s="11">
        <v>1</v>
      </c>
      <c r="E63" s="11">
        <v>2015</v>
      </c>
    </row>
    <row r="64" spans="1:5" hidden="1">
      <c r="A64" s="11">
        <v>1063</v>
      </c>
      <c r="B64" s="11" t="s">
        <v>579</v>
      </c>
      <c r="C64" s="11" t="s">
        <v>932</v>
      </c>
      <c r="D64" s="11">
        <v>5</v>
      </c>
      <c r="E64" s="11">
        <v>2008</v>
      </c>
    </row>
    <row r="65" spans="1:5" hidden="1">
      <c r="A65" s="11">
        <v>1064</v>
      </c>
      <c r="B65" s="11" t="s">
        <v>580</v>
      </c>
      <c r="C65" s="11" t="s">
        <v>931</v>
      </c>
      <c r="D65" s="11">
        <v>7</v>
      </c>
      <c r="E65" s="11">
        <v>2008</v>
      </c>
    </row>
    <row r="66" spans="1:5" hidden="1">
      <c r="A66" s="11">
        <v>1065</v>
      </c>
      <c r="B66" s="11" t="s">
        <v>581</v>
      </c>
      <c r="C66" s="11" t="s">
        <v>930</v>
      </c>
      <c r="D66" s="11">
        <v>3</v>
      </c>
      <c r="E66" s="11">
        <v>2011</v>
      </c>
    </row>
    <row r="67" spans="1:5" hidden="1">
      <c r="A67" s="11">
        <v>1066</v>
      </c>
      <c r="B67" s="11" t="s">
        <v>582</v>
      </c>
      <c r="C67" s="11" t="s">
        <v>929</v>
      </c>
      <c r="D67" s="11">
        <v>4</v>
      </c>
      <c r="E67" s="11">
        <v>2017</v>
      </c>
    </row>
    <row r="68" spans="1:5" hidden="1">
      <c r="A68" s="11">
        <v>1067</v>
      </c>
      <c r="B68" s="11" t="s">
        <v>996</v>
      </c>
      <c r="C68" s="11" t="s">
        <v>928</v>
      </c>
      <c r="D68" s="11">
        <v>1</v>
      </c>
      <c r="E68" s="11">
        <v>2007</v>
      </c>
    </row>
    <row r="69" spans="1:5" hidden="1">
      <c r="A69" s="11">
        <v>1068</v>
      </c>
      <c r="B69" s="11" t="s">
        <v>583</v>
      </c>
      <c r="C69" s="11" t="s">
        <v>927</v>
      </c>
      <c r="D69" s="11">
        <v>9</v>
      </c>
      <c r="E69" s="11">
        <v>2015</v>
      </c>
    </row>
    <row r="70" spans="1:5" hidden="1">
      <c r="A70" s="11">
        <v>1069</v>
      </c>
      <c r="B70" s="11" t="s">
        <v>997</v>
      </c>
      <c r="C70" s="11" t="s">
        <v>926</v>
      </c>
      <c r="D70" s="11">
        <v>5</v>
      </c>
      <c r="E70" s="11">
        <v>2008</v>
      </c>
    </row>
    <row r="71" spans="1:5">
      <c r="A71" s="11">
        <v>1070</v>
      </c>
      <c r="B71" s="11" t="s">
        <v>584</v>
      </c>
      <c r="C71" s="11" t="s">
        <v>925</v>
      </c>
      <c r="D71" s="11">
        <v>11</v>
      </c>
      <c r="E71" s="11">
        <v>2007</v>
      </c>
    </row>
    <row r="72" spans="1:5">
      <c r="A72" s="11">
        <v>1071</v>
      </c>
      <c r="B72" s="11" t="s">
        <v>585</v>
      </c>
      <c r="C72" s="11" t="s">
        <v>1246</v>
      </c>
      <c r="D72" s="11">
        <v>7</v>
      </c>
      <c r="E72" s="11">
        <v>2004</v>
      </c>
    </row>
    <row r="73" spans="1:5" hidden="1">
      <c r="A73" s="11">
        <v>1072</v>
      </c>
      <c r="B73" s="11" t="s">
        <v>586</v>
      </c>
      <c r="C73" s="11" t="s">
        <v>924</v>
      </c>
      <c r="D73" s="11">
        <v>1</v>
      </c>
      <c r="E73" s="11">
        <v>2005</v>
      </c>
    </row>
    <row r="74" spans="1:5" hidden="1">
      <c r="A74" s="11">
        <v>1073</v>
      </c>
      <c r="B74" s="11" t="s">
        <v>587</v>
      </c>
      <c r="C74" s="11" t="s">
        <v>923</v>
      </c>
      <c r="D74" s="11">
        <v>8</v>
      </c>
      <c r="E74" s="11">
        <v>2017</v>
      </c>
    </row>
    <row r="75" spans="1:5" hidden="1">
      <c r="A75" s="11">
        <v>1074</v>
      </c>
      <c r="B75" s="11" t="s">
        <v>998</v>
      </c>
      <c r="C75" s="11" t="s">
        <v>922</v>
      </c>
      <c r="D75" s="11">
        <v>12</v>
      </c>
      <c r="E75" s="11">
        <v>2002</v>
      </c>
    </row>
    <row r="76" spans="1:5" hidden="1">
      <c r="A76" s="11">
        <v>1075</v>
      </c>
      <c r="B76" s="11" t="s">
        <v>588</v>
      </c>
      <c r="C76" s="11" t="s">
        <v>921</v>
      </c>
      <c r="D76" s="11">
        <v>12</v>
      </c>
      <c r="E76" s="11">
        <v>2003</v>
      </c>
    </row>
    <row r="77" spans="1:5" hidden="1">
      <c r="A77" s="11">
        <v>1076</v>
      </c>
      <c r="B77" s="11" t="s">
        <v>589</v>
      </c>
      <c r="C77" s="11" t="s">
        <v>920</v>
      </c>
      <c r="D77" s="11">
        <v>7</v>
      </c>
      <c r="E77" s="11">
        <v>2011</v>
      </c>
    </row>
    <row r="78" spans="1:5">
      <c r="A78" s="11">
        <v>1077</v>
      </c>
      <c r="B78" s="11" t="s">
        <v>590</v>
      </c>
      <c r="C78" s="11" t="s">
        <v>919</v>
      </c>
      <c r="D78" s="11">
        <v>12</v>
      </c>
      <c r="E78" s="11">
        <v>2006</v>
      </c>
    </row>
    <row r="79" spans="1:5" hidden="1">
      <c r="A79" s="11">
        <v>1078</v>
      </c>
      <c r="B79" s="11" t="s">
        <v>591</v>
      </c>
      <c r="C79" s="11" t="s">
        <v>918</v>
      </c>
      <c r="D79" s="11">
        <v>1</v>
      </c>
      <c r="E79" s="11">
        <v>2010</v>
      </c>
    </row>
    <row r="80" spans="1:5" hidden="1">
      <c r="A80" s="11">
        <v>1079</v>
      </c>
      <c r="B80" s="11" t="s">
        <v>999</v>
      </c>
      <c r="C80" s="11" t="s">
        <v>917</v>
      </c>
      <c r="D80" s="11">
        <v>5</v>
      </c>
      <c r="E80" s="11">
        <v>2003</v>
      </c>
    </row>
    <row r="81" spans="1:5" hidden="1">
      <c r="A81" s="11">
        <v>1080</v>
      </c>
      <c r="B81" s="11" t="s">
        <v>592</v>
      </c>
      <c r="C81" s="11" t="s">
        <v>916</v>
      </c>
      <c r="D81" s="11">
        <v>4</v>
      </c>
      <c r="E81" s="11">
        <v>2007</v>
      </c>
    </row>
    <row r="82" spans="1:5" hidden="1">
      <c r="A82" s="11">
        <v>1081</v>
      </c>
      <c r="B82" s="11" t="s">
        <v>593</v>
      </c>
      <c r="C82" s="11" t="s">
        <v>915</v>
      </c>
      <c r="D82" s="11">
        <v>10</v>
      </c>
      <c r="E82" s="11">
        <v>2007</v>
      </c>
    </row>
    <row r="83" spans="1:5" hidden="1">
      <c r="A83" s="11">
        <v>1082</v>
      </c>
      <c r="B83" s="11" t="s">
        <v>594</v>
      </c>
      <c r="C83" s="11" t="s">
        <v>914</v>
      </c>
      <c r="D83" s="11">
        <v>2</v>
      </c>
      <c r="E83" s="11">
        <v>2010</v>
      </c>
    </row>
    <row r="84" spans="1:5" hidden="1">
      <c r="A84" s="11">
        <v>1083</v>
      </c>
      <c r="B84" s="11" t="s">
        <v>595</v>
      </c>
      <c r="C84" s="11" t="s">
        <v>913</v>
      </c>
      <c r="D84" s="11">
        <v>10</v>
      </c>
      <c r="E84" s="11">
        <v>2009</v>
      </c>
    </row>
    <row r="85" spans="1:5" hidden="1">
      <c r="A85" s="11">
        <v>1084</v>
      </c>
      <c r="B85" s="11" t="s">
        <v>596</v>
      </c>
      <c r="C85" s="11" t="s">
        <v>792</v>
      </c>
      <c r="D85" s="11">
        <v>11</v>
      </c>
      <c r="E85" s="11">
        <v>2008</v>
      </c>
    </row>
    <row r="86" spans="1:5" hidden="1">
      <c r="A86" s="11">
        <v>1085</v>
      </c>
      <c r="B86" s="11" t="s">
        <v>597</v>
      </c>
      <c r="C86" s="11" t="s">
        <v>912</v>
      </c>
      <c r="D86" s="11">
        <v>2</v>
      </c>
      <c r="E86" s="11">
        <v>2002</v>
      </c>
    </row>
    <row r="87" spans="1:5" hidden="1">
      <c r="A87" s="11">
        <v>1086</v>
      </c>
      <c r="B87" s="11" t="s">
        <v>598</v>
      </c>
      <c r="C87" s="11" t="s">
        <v>911</v>
      </c>
      <c r="D87" s="11">
        <v>9</v>
      </c>
      <c r="E87" s="11">
        <v>2009</v>
      </c>
    </row>
    <row r="88" spans="1:5" hidden="1">
      <c r="A88" s="11">
        <v>1087</v>
      </c>
      <c r="B88" s="11" t="s">
        <v>599</v>
      </c>
      <c r="C88" s="11" t="s">
        <v>813</v>
      </c>
      <c r="D88" s="11">
        <v>2</v>
      </c>
      <c r="E88" s="11">
        <v>2010</v>
      </c>
    </row>
    <row r="89" spans="1:5" hidden="1">
      <c r="A89" s="11">
        <v>1088</v>
      </c>
      <c r="B89" s="11" t="s">
        <v>600</v>
      </c>
      <c r="C89" s="11" t="s">
        <v>910</v>
      </c>
      <c r="D89" s="11">
        <v>10</v>
      </c>
      <c r="E89" s="11">
        <v>2009</v>
      </c>
    </row>
    <row r="90" spans="1:5">
      <c r="A90" s="11">
        <v>1089</v>
      </c>
      <c r="B90" s="11" t="s">
        <v>1000</v>
      </c>
      <c r="C90" s="11" t="s">
        <v>662</v>
      </c>
    </row>
    <row r="91" spans="1:5" hidden="1">
      <c r="A91" s="11">
        <v>1090</v>
      </c>
      <c r="B91" s="11" t="s">
        <v>1001</v>
      </c>
      <c r="C91" s="11" t="s">
        <v>909</v>
      </c>
      <c r="D91" s="11">
        <v>1</v>
      </c>
      <c r="E91" s="11">
        <v>2003</v>
      </c>
    </row>
    <row r="92" spans="1:5" hidden="1">
      <c r="A92" s="11">
        <v>1091</v>
      </c>
      <c r="B92" s="11" t="s">
        <v>601</v>
      </c>
      <c r="C92" s="11" t="s">
        <v>908</v>
      </c>
      <c r="D92" s="11">
        <v>5</v>
      </c>
      <c r="E92" s="11">
        <v>2017</v>
      </c>
    </row>
    <row r="93" spans="1:5">
      <c r="A93" s="11">
        <v>1092</v>
      </c>
      <c r="B93" s="11" t="s">
        <v>1002</v>
      </c>
      <c r="C93" s="11" t="s">
        <v>662</v>
      </c>
    </row>
    <row r="94" spans="1:5">
      <c r="A94" s="11">
        <v>1093</v>
      </c>
      <c r="B94" s="11" t="s">
        <v>1003</v>
      </c>
      <c r="C94" s="11" t="s">
        <v>662</v>
      </c>
    </row>
    <row r="95" spans="1:5" ht="15" thickBot="1">
      <c r="A95" s="11">
        <v>1094</v>
      </c>
      <c r="B95" s="11" t="s">
        <v>1004</v>
      </c>
      <c r="C95" s="11" t="s">
        <v>662</v>
      </c>
    </row>
    <row r="96" spans="1:5" ht="16" thickBot="1">
      <c r="A96" s="11">
        <v>1095</v>
      </c>
      <c r="B96" s="11" t="s">
        <v>602</v>
      </c>
      <c r="C96" s="13" t="s">
        <v>1251</v>
      </c>
      <c r="D96" s="11">
        <v>8</v>
      </c>
      <c r="E96" s="11">
        <v>2002</v>
      </c>
    </row>
    <row r="97" spans="1:5">
      <c r="A97" s="11">
        <v>1096</v>
      </c>
      <c r="B97" s="11" t="s">
        <v>1005</v>
      </c>
      <c r="C97" s="11" t="s">
        <v>662</v>
      </c>
    </row>
    <row r="98" spans="1:5">
      <c r="A98" s="11">
        <v>1097</v>
      </c>
      <c r="B98" s="11" t="s">
        <v>1006</v>
      </c>
      <c r="C98" s="11" t="s">
        <v>662</v>
      </c>
    </row>
    <row r="99" spans="1:5" hidden="1">
      <c r="A99" s="11">
        <v>1098</v>
      </c>
      <c r="B99" s="11" t="s">
        <v>603</v>
      </c>
      <c r="C99" s="11" t="s">
        <v>907</v>
      </c>
      <c r="D99" s="11">
        <v>8</v>
      </c>
      <c r="E99" s="11">
        <v>2017</v>
      </c>
    </row>
    <row r="100" spans="1:5" hidden="1">
      <c r="A100" s="11">
        <v>1099</v>
      </c>
      <c r="B100" s="11" t="s">
        <v>604</v>
      </c>
      <c r="C100" s="11" t="s">
        <v>906</v>
      </c>
      <c r="D100" s="11">
        <v>10</v>
      </c>
      <c r="E100" s="11">
        <v>2005</v>
      </c>
    </row>
    <row r="101" spans="1:5">
      <c r="A101" s="11">
        <v>1100</v>
      </c>
      <c r="B101" s="11" t="s">
        <v>1007</v>
      </c>
      <c r="C101" s="11" t="s">
        <v>662</v>
      </c>
    </row>
    <row r="102" spans="1:5">
      <c r="A102" s="11">
        <v>1101</v>
      </c>
      <c r="B102" s="11" t="s">
        <v>1008</v>
      </c>
      <c r="C102" s="11" t="s">
        <v>662</v>
      </c>
    </row>
    <row r="103" spans="1:5" hidden="1">
      <c r="A103" s="11">
        <v>1102</v>
      </c>
      <c r="B103" s="11" t="s">
        <v>605</v>
      </c>
      <c r="C103" s="11" t="s">
        <v>905</v>
      </c>
      <c r="D103" s="11">
        <v>12</v>
      </c>
      <c r="E103" s="11">
        <v>2005</v>
      </c>
    </row>
    <row r="104" spans="1:5" hidden="1">
      <c r="A104" s="11">
        <v>1103</v>
      </c>
      <c r="B104" s="11" t="s">
        <v>606</v>
      </c>
      <c r="C104" s="11" t="s">
        <v>904</v>
      </c>
      <c r="D104" s="11">
        <v>9</v>
      </c>
      <c r="E104" s="11">
        <v>2002</v>
      </c>
    </row>
    <row r="105" spans="1:5" hidden="1">
      <c r="A105" s="11">
        <v>1104</v>
      </c>
      <c r="B105" s="11" t="s">
        <v>607</v>
      </c>
      <c r="C105" s="11" t="s">
        <v>665</v>
      </c>
      <c r="D105" s="11">
        <v>4</v>
      </c>
      <c r="E105" s="11">
        <v>2002</v>
      </c>
    </row>
    <row r="106" spans="1:5" hidden="1">
      <c r="A106" s="11">
        <v>1105</v>
      </c>
      <c r="B106" s="11" t="s">
        <v>608</v>
      </c>
      <c r="C106" s="11" t="s">
        <v>903</v>
      </c>
      <c r="D106" s="11">
        <v>2</v>
      </c>
      <c r="E106" s="11">
        <v>2006</v>
      </c>
    </row>
    <row r="107" spans="1:5" hidden="1">
      <c r="A107" s="11">
        <v>1106</v>
      </c>
      <c r="B107" s="11" t="s">
        <v>1009</v>
      </c>
      <c r="C107" s="11" t="s">
        <v>902</v>
      </c>
      <c r="D107" s="11">
        <v>7</v>
      </c>
      <c r="E107" s="11">
        <v>1989</v>
      </c>
    </row>
    <row r="108" spans="1:5" hidden="1">
      <c r="A108" s="11">
        <v>1107</v>
      </c>
      <c r="B108" s="11" t="s">
        <v>1010</v>
      </c>
      <c r="C108" s="11" t="s">
        <v>901</v>
      </c>
      <c r="D108" s="11">
        <v>3</v>
      </c>
      <c r="E108" s="11">
        <v>2008</v>
      </c>
    </row>
    <row r="109" spans="1:5" hidden="1">
      <c r="A109" s="11">
        <v>1108</v>
      </c>
      <c r="B109" s="11" t="s">
        <v>1011</v>
      </c>
      <c r="C109" s="11" t="s">
        <v>900</v>
      </c>
      <c r="D109" s="11">
        <v>10</v>
      </c>
      <c r="E109" s="11">
        <v>2004</v>
      </c>
    </row>
    <row r="110" spans="1:5" hidden="1">
      <c r="A110" s="11">
        <v>1109</v>
      </c>
      <c r="B110" s="11" t="s">
        <v>1012</v>
      </c>
      <c r="C110" s="11" t="s">
        <v>899</v>
      </c>
      <c r="D110" s="11">
        <v>2</v>
      </c>
      <c r="E110" s="11">
        <v>2004</v>
      </c>
    </row>
    <row r="111" spans="1:5" hidden="1">
      <c r="A111" s="11">
        <v>1110</v>
      </c>
      <c r="B111" s="11" t="s">
        <v>1013</v>
      </c>
      <c r="C111" s="11" t="s">
        <v>664</v>
      </c>
      <c r="D111" s="11">
        <v>12</v>
      </c>
      <c r="E111" s="11">
        <v>1998</v>
      </c>
    </row>
    <row r="112" spans="1:5" hidden="1">
      <c r="A112" s="11">
        <v>1111</v>
      </c>
      <c r="B112" s="11" t="s">
        <v>1014</v>
      </c>
      <c r="C112" s="11" t="s">
        <v>898</v>
      </c>
      <c r="D112" s="11">
        <v>8</v>
      </c>
      <c r="E112" s="11">
        <v>1995</v>
      </c>
    </row>
    <row r="113" spans="1:5" hidden="1">
      <c r="A113" s="11">
        <v>1112</v>
      </c>
      <c r="B113" s="11" t="s">
        <v>1015</v>
      </c>
      <c r="C113" s="11" t="s">
        <v>897</v>
      </c>
      <c r="D113" s="11">
        <v>7</v>
      </c>
      <c r="E113" s="11">
        <v>2007</v>
      </c>
    </row>
    <row r="114" spans="1:5" hidden="1">
      <c r="A114" s="11">
        <v>1113</v>
      </c>
      <c r="B114" s="11" t="s">
        <v>1016</v>
      </c>
      <c r="C114" s="11" t="s">
        <v>896</v>
      </c>
      <c r="D114" s="11">
        <v>7</v>
      </c>
      <c r="E114" s="11">
        <v>2001</v>
      </c>
    </row>
    <row r="115" spans="1:5" hidden="1">
      <c r="A115" s="11">
        <v>1114</v>
      </c>
      <c r="B115" s="11" t="s">
        <v>1017</v>
      </c>
      <c r="C115" s="11" t="s">
        <v>895</v>
      </c>
      <c r="D115" s="11">
        <v>5</v>
      </c>
      <c r="E115" s="11">
        <v>2002</v>
      </c>
    </row>
    <row r="116" spans="1:5" hidden="1">
      <c r="A116" s="11">
        <v>1115</v>
      </c>
      <c r="B116" s="11" t="s">
        <v>1018</v>
      </c>
      <c r="C116" s="11" t="s">
        <v>754</v>
      </c>
      <c r="D116" s="11">
        <v>4</v>
      </c>
      <c r="E116" s="11">
        <v>2005</v>
      </c>
    </row>
    <row r="117" spans="1:5">
      <c r="A117" s="11">
        <v>1116</v>
      </c>
      <c r="B117" s="11" t="s">
        <v>1019</v>
      </c>
      <c r="C117" s="11" t="s">
        <v>662</v>
      </c>
    </row>
    <row r="118" spans="1:5" hidden="1">
      <c r="A118" s="11">
        <v>1117</v>
      </c>
      <c r="B118" s="11" t="s">
        <v>1020</v>
      </c>
      <c r="C118" s="11" t="s">
        <v>748</v>
      </c>
      <c r="D118" s="11">
        <v>1</v>
      </c>
      <c r="E118" s="11">
        <v>2003</v>
      </c>
    </row>
    <row r="119" spans="1:5" hidden="1">
      <c r="A119" s="11">
        <v>1118</v>
      </c>
      <c r="B119" s="11" t="s">
        <v>1021</v>
      </c>
      <c r="C119" s="11" t="s">
        <v>663</v>
      </c>
      <c r="D119" s="11">
        <v>11</v>
      </c>
      <c r="E119" s="11">
        <v>1998</v>
      </c>
    </row>
    <row r="120" spans="1:5" hidden="1">
      <c r="A120" s="11">
        <v>1119</v>
      </c>
      <c r="B120" s="11" t="s">
        <v>1022</v>
      </c>
      <c r="C120" s="11" t="s">
        <v>894</v>
      </c>
      <c r="D120" s="11">
        <v>7</v>
      </c>
      <c r="E120" s="11">
        <v>2001</v>
      </c>
    </row>
    <row r="121" spans="1:5" hidden="1">
      <c r="A121" s="11">
        <v>1120</v>
      </c>
      <c r="B121" s="11" t="s">
        <v>1023</v>
      </c>
      <c r="C121" s="11" t="s">
        <v>667</v>
      </c>
      <c r="D121" s="11">
        <v>6</v>
      </c>
      <c r="E121" s="11">
        <v>2003</v>
      </c>
    </row>
    <row r="122" spans="1:5" hidden="1">
      <c r="A122" s="11">
        <v>1121</v>
      </c>
      <c r="B122" s="11" t="s">
        <v>1024</v>
      </c>
      <c r="C122" s="11" t="s">
        <v>668</v>
      </c>
      <c r="D122" s="11">
        <v>9</v>
      </c>
      <c r="E122" s="11">
        <v>2003</v>
      </c>
    </row>
    <row r="123" spans="1:5" hidden="1">
      <c r="A123" s="11">
        <v>1122</v>
      </c>
      <c r="B123" s="11" t="s">
        <v>1025</v>
      </c>
      <c r="C123" s="11" t="s">
        <v>774</v>
      </c>
      <c r="D123" s="11">
        <v>1</v>
      </c>
      <c r="E123" s="11">
        <v>2007</v>
      </c>
    </row>
    <row r="124" spans="1:5" hidden="1">
      <c r="A124" s="11">
        <v>1123</v>
      </c>
      <c r="B124" s="11" t="s">
        <v>1026</v>
      </c>
      <c r="C124" s="11" t="s">
        <v>789</v>
      </c>
      <c r="D124" s="11">
        <v>5</v>
      </c>
      <c r="E124" s="11">
        <v>2008</v>
      </c>
    </row>
    <row r="125" spans="1:5" hidden="1">
      <c r="A125" s="11">
        <v>1124</v>
      </c>
      <c r="B125" s="11" t="s">
        <v>1027</v>
      </c>
      <c r="C125" s="11" t="s">
        <v>761</v>
      </c>
      <c r="D125" s="11">
        <v>3</v>
      </c>
      <c r="E125" s="11">
        <v>2006</v>
      </c>
    </row>
    <row r="126" spans="1:5">
      <c r="A126" s="11">
        <v>1125</v>
      </c>
      <c r="B126" s="11" t="s">
        <v>1028</v>
      </c>
      <c r="C126" s="11" t="s">
        <v>662</v>
      </c>
    </row>
    <row r="127" spans="1:5" hidden="1">
      <c r="A127" s="11">
        <v>1126</v>
      </c>
      <c r="B127" s="11" t="s">
        <v>1029</v>
      </c>
      <c r="C127" s="11" t="s">
        <v>893</v>
      </c>
      <c r="D127" s="11">
        <v>6</v>
      </c>
      <c r="E127" s="11">
        <v>2006</v>
      </c>
    </row>
    <row r="128" spans="1:5" hidden="1">
      <c r="A128" s="11">
        <v>1127</v>
      </c>
      <c r="B128" s="11" t="s">
        <v>1030</v>
      </c>
      <c r="C128" s="11" t="s">
        <v>892</v>
      </c>
      <c r="D128" s="11">
        <v>3</v>
      </c>
      <c r="E128" s="11">
        <v>2007</v>
      </c>
    </row>
    <row r="129" spans="1:5" hidden="1">
      <c r="A129" s="11">
        <v>1128</v>
      </c>
      <c r="B129" s="11" t="s">
        <v>1031</v>
      </c>
      <c r="C129" s="11" t="s">
        <v>891</v>
      </c>
      <c r="D129" s="11">
        <v>10</v>
      </c>
      <c r="E129" s="11">
        <v>2007</v>
      </c>
    </row>
    <row r="130" spans="1:5" hidden="1">
      <c r="A130" s="11">
        <v>1129</v>
      </c>
      <c r="B130" s="11" t="s">
        <v>1032</v>
      </c>
      <c r="C130" s="11" t="s">
        <v>890</v>
      </c>
      <c r="D130" s="11">
        <v>4</v>
      </c>
      <c r="E130" s="11">
        <v>2005</v>
      </c>
    </row>
    <row r="131" spans="1:5" hidden="1">
      <c r="A131" s="11">
        <v>2001</v>
      </c>
      <c r="B131" s="11" t="s">
        <v>1033</v>
      </c>
      <c r="C131" s="11" t="s">
        <v>889</v>
      </c>
      <c r="D131" s="11">
        <v>1</v>
      </c>
      <c r="E131" s="11">
        <v>2017</v>
      </c>
    </row>
    <row r="132" spans="1:5" hidden="1">
      <c r="A132" s="11">
        <v>2002</v>
      </c>
      <c r="B132" s="11" t="s">
        <v>1034</v>
      </c>
      <c r="C132" s="11" t="s">
        <v>888</v>
      </c>
      <c r="D132" s="11">
        <v>5</v>
      </c>
      <c r="E132" s="11">
        <v>2018</v>
      </c>
    </row>
    <row r="133" spans="1:5" hidden="1">
      <c r="A133" s="11">
        <v>2003</v>
      </c>
      <c r="B133" s="11" t="s">
        <v>1035</v>
      </c>
      <c r="C133" s="11" t="s">
        <v>887</v>
      </c>
      <c r="D133" s="11">
        <v>5</v>
      </c>
      <c r="E133" s="11">
        <v>2021</v>
      </c>
    </row>
    <row r="134" spans="1:5" hidden="1">
      <c r="A134" s="11">
        <v>2004</v>
      </c>
      <c r="B134" s="11" t="s">
        <v>1036</v>
      </c>
      <c r="C134" s="11" t="s">
        <v>886</v>
      </c>
      <c r="D134" s="11">
        <v>1</v>
      </c>
      <c r="E134" s="11">
        <v>2021</v>
      </c>
    </row>
    <row r="135" spans="1:5" hidden="1">
      <c r="A135" s="11">
        <v>2005</v>
      </c>
      <c r="B135" s="11" t="s">
        <v>1037</v>
      </c>
      <c r="C135" s="11" t="s">
        <v>885</v>
      </c>
      <c r="D135" s="11">
        <v>12</v>
      </c>
      <c r="E135" s="11">
        <v>2020</v>
      </c>
    </row>
    <row r="136" spans="1:5" hidden="1">
      <c r="A136" s="11">
        <v>2006</v>
      </c>
      <c r="B136" s="11" t="s">
        <v>1038</v>
      </c>
      <c r="C136" s="11" t="s">
        <v>884</v>
      </c>
      <c r="D136" s="11">
        <v>4</v>
      </c>
      <c r="E136" s="11">
        <v>2020</v>
      </c>
    </row>
    <row r="137" spans="1:5" hidden="1">
      <c r="A137" s="11">
        <v>2007</v>
      </c>
      <c r="B137" s="11" t="s">
        <v>1039</v>
      </c>
      <c r="C137" s="11" t="s">
        <v>883</v>
      </c>
      <c r="D137" s="11">
        <v>3</v>
      </c>
      <c r="E137" s="11">
        <v>2020</v>
      </c>
    </row>
    <row r="138" spans="1:5" hidden="1">
      <c r="A138" s="11">
        <v>2008</v>
      </c>
      <c r="B138" s="11" t="s">
        <v>1040</v>
      </c>
      <c r="C138" s="11" t="s">
        <v>882</v>
      </c>
      <c r="D138" s="11">
        <v>1</v>
      </c>
      <c r="E138" s="11">
        <v>2020</v>
      </c>
    </row>
    <row r="139" spans="1:5" hidden="1">
      <c r="A139" s="11">
        <v>2009</v>
      </c>
      <c r="B139" s="11" t="s">
        <v>1041</v>
      </c>
      <c r="C139" s="11" t="s">
        <v>881</v>
      </c>
      <c r="D139" s="11">
        <v>2</v>
      </c>
      <c r="E139" s="11">
        <v>2020</v>
      </c>
    </row>
    <row r="140" spans="1:5" hidden="1">
      <c r="A140" s="11">
        <v>2010</v>
      </c>
      <c r="B140" s="11" t="s">
        <v>1042</v>
      </c>
      <c r="C140" s="11" t="s">
        <v>880</v>
      </c>
      <c r="D140" s="11">
        <v>12</v>
      </c>
      <c r="E140" s="11">
        <v>2018</v>
      </c>
    </row>
    <row r="141" spans="1:5" hidden="1">
      <c r="A141" s="11">
        <v>2011</v>
      </c>
      <c r="B141" s="11" t="s">
        <v>1043</v>
      </c>
      <c r="C141" s="11" t="s">
        <v>879</v>
      </c>
      <c r="D141" s="11">
        <v>10</v>
      </c>
      <c r="E141" s="11">
        <v>2019</v>
      </c>
    </row>
    <row r="142" spans="1:5" hidden="1">
      <c r="A142" s="11">
        <v>2012</v>
      </c>
      <c r="B142" s="11" t="s">
        <v>1044</v>
      </c>
      <c r="C142" s="11" t="s">
        <v>878</v>
      </c>
      <c r="D142" s="11">
        <v>6</v>
      </c>
      <c r="E142" s="11">
        <v>2019</v>
      </c>
    </row>
    <row r="143" spans="1:5" hidden="1">
      <c r="A143" s="11">
        <v>2013</v>
      </c>
      <c r="B143" s="11" t="s">
        <v>1045</v>
      </c>
      <c r="C143" s="11" t="s">
        <v>877</v>
      </c>
      <c r="D143" s="11">
        <v>8</v>
      </c>
      <c r="E143" s="11">
        <v>2019</v>
      </c>
    </row>
    <row r="144" spans="1:5" hidden="1">
      <c r="A144" s="11">
        <v>2014</v>
      </c>
      <c r="B144" s="11" t="s">
        <v>1046</v>
      </c>
      <c r="C144" s="11" t="s">
        <v>876</v>
      </c>
      <c r="D144" s="11">
        <v>9</v>
      </c>
      <c r="E144" s="11">
        <v>2019</v>
      </c>
    </row>
    <row r="145" spans="1:5" hidden="1">
      <c r="A145" s="11">
        <v>2015</v>
      </c>
      <c r="B145" s="11" t="s">
        <v>1047</v>
      </c>
      <c r="C145" s="11" t="s">
        <v>875</v>
      </c>
      <c r="D145" s="11">
        <v>8</v>
      </c>
      <c r="E145" s="11">
        <v>2019</v>
      </c>
    </row>
    <row r="146" spans="1:5" hidden="1">
      <c r="A146" s="11">
        <v>2016</v>
      </c>
      <c r="B146" s="11" t="s">
        <v>1048</v>
      </c>
      <c r="C146" s="11" t="s">
        <v>874</v>
      </c>
      <c r="D146" s="11">
        <v>7</v>
      </c>
      <c r="E146" s="11">
        <v>2019</v>
      </c>
    </row>
    <row r="147" spans="1:5" hidden="1">
      <c r="A147" s="11">
        <v>2017</v>
      </c>
      <c r="B147" s="11" t="s">
        <v>1049</v>
      </c>
      <c r="C147" s="11" t="s">
        <v>873</v>
      </c>
      <c r="D147" s="11">
        <v>6</v>
      </c>
      <c r="E147" s="11">
        <v>2019</v>
      </c>
    </row>
    <row r="148" spans="1:5" hidden="1">
      <c r="A148" s="11">
        <v>2018</v>
      </c>
      <c r="B148" s="11" t="s">
        <v>1050</v>
      </c>
      <c r="C148" s="11" t="s">
        <v>872</v>
      </c>
      <c r="D148" s="11">
        <v>8</v>
      </c>
      <c r="E148" s="11">
        <v>2019</v>
      </c>
    </row>
    <row r="149" spans="1:5" hidden="1">
      <c r="A149" s="11">
        <v>2019</v>
      </c>
      <c r="B149" s="11" t="s">
        <v>1051</v>
      </c>
      <c r="C149" s="11" t="s">
        <v>871</v>
      </c>
      <c r="D149" s="11">
        <v>7</v>
      </c>
      <c r="E149" s="11">
        <v>2019</v>
      </c>
    </row>
    <row r="150" spans="1:5" hidden="1">
      <c r="A150" s="11">
        <v>2020</v>
      </c>
      <c r="B150" s="11" t="s">
        <v>1052</v>
      </c>
      <c r="C150" s="11" t="s">
        <v>870</v>
      </c>
      <c r="D150" s="11">
        <v>1</v>
      </c>
      <c r="E150" s="11">
        <v>2019</v>
      </c>
    </row>
    <row r="151" spans="1:5" hidden="1">
      <c r="A151" s="11">
        <v>2021</v>
      </c>
      <c r="B151" s="11" t="s">
        <v>1053</v>
      </c>
      <c r="C151" s="11" t="s">
        <v>869</v>
      </c>
      <c r="D151" s="11">
        <v>11</v>
      </c>
      <c r="E151" s="11">
        <v>2019</v>
      </c>
    </row>
    <row r="152" spans="1:5" hidden="1">
      <c r="A152" s="11">
        <v>2022</v>
      </c>
      <c r="B152" s="11" t="s">
        <v>1054</v>
      </c>
      <c r="C152" s="11" t="s">
        <v>868</v>
      </c>
      <c r="D152" s="11">
        <v>3</v>
      </c>
      <c r="E152" s="11">
        <v>2019</v>
      </c>
    </row>
    <row r="153" spans="1:5" hidden="1">
      <c r="A153" s="11">
        <v>2023</v>
      </c>
      <c r="B153" s="11" t="s">
        <v>1055</v>
      </c>
      <c r="C153" s="11" t="s">
        <v>867</v>
      </c>
      <c r="D153" s="11">
        <v>1</v>
      </c>
      <c r="E153" s="11">
        <v>2019</v>
      </c>
    </row>
    <row r="154" spans="1:5" hidden="1">
      <c r="A154" s="11">
        <v>2024</v>
      </c>
      <c r="B154" s="11" t="s">
        <v>1056</v>
      </c>
      <c r="C154" s="11" t="s">
        <v>866</v>
      </c>
      <c r="D154" s="11">
        <v>4</v>
      </c>
      <c r="E154" s="11">
        <v>2019</v>
      </c>
    </row>
    <row r="155" spans="1:5" hidden="1">
      <c r="A155" s="11">
        <v>2025</v>
      </c>
      <c r="B155" s="11" t="s">
        <v>1057</v>
      </c>
      <c r="C155" s="11" t="s">
        <v>865</v>
      </c>
      <c r="D155" s="11">
        <v>9</v>
      </c>
      <c r="E155" s="11">
        <v>2006</v>
      </c>
    </row>
    <row r="156" spans="1:5" hidden="1">
      <c r="A156" s="11">
        <v>2026</v>
      </c>
      <c r="B156" s="11" t="s">
        <v>1058</v>
      </c>
      <c r="C156" s="11" t="s">
        <v>864</v>
      </c>
      <c r="D156" s="11">
        <v>11</v>
      </c>
      <c r="E156" s="11">
        <v>2017</v>
      </c>
    </row>
    <row r="157" spans="1:5" hidden="1">
      <c r="A157" s="11">
        <v>2027</v>
      </c>
      <c r="B157" s="11" t="s">
        <v>1059</v>
      </c>
      <c r="C157" s="11" t="s">
        <v>863</v>
      </c>
      <c r="D157" s="11">
        <v>4</v>
      </c>
      <c r="E157" s="11">
        <v>2018</v>
      </c>
    </row>
    <row r="158" spans="1:5">
      <c r="A158" s="11">
        <v>2028</v>
      </c>
      <c r="B158" s="11" t="s">
        <v>1060</v>
      </c>
      <c r="C158" s="11" t="s">
        <v>662</v>
      </c>
    </row>
    <row r="159" spans="1:5">
      <c r="A159" s="11">
        <v>2029</v>
      </c>
      <c r="B159" s="11" t="s">
        <v>1061</v>
      </c>
      <c r="C159" s="11" t="s">
        <v>662</v>
      </c>
    </row>
    <row r="160" spans="1:5" hidden="1">
      <c r="A160" s="11">
        <v>2030</v>
      </c>
      <c r="B160" s="11" t="s">
        <v>1062</v>
      </c>
      <c r="C160" s="11" t="s">
        <v>862</v>
      </c>
      <c r="D160" s="11">
        <v>3</v>
      </c>
      <c r="E160" s="11">
        <v>2017</v>
      </c>
    </row>
    <row r="161" spans="1:5" hidden="1">
      <c r="A161" s="11">
        <v>2031</v>
      </c>
      <c r="B161" s="11" t="s">
        <v>1063</v>
      </c>
      <c r="C161" s="11" t="s">
        <v>861</v>
      </c>
      <c r="D161" s="11">
        <v>6</v>
      </c>
      <c r="E161" s="11">
        <v>2017</v>
      </c>
    </row>
    <row r="162" spans="1:5" hidden="1">
      <c r="A162" s="11">
        <v>2032</v>
      </c>
      <c r="B162" s="11" t="s">
        <v>1064</v>
      </c>
      <c r="C162" s="11" t="s">
        <v>1233</v>
      </c>
      <c r="D162" s="11" t="e">
        <v>#VALUE!</v>
      </c>
      <c r="E162" s="11" t="e">
        <v>#VALUE!</v>
      </c>
    </row>
    <row r="163" spans="1:5" hidden="1">
      <c r="A163" s="11">
        <v>2033</v>
      </c>
      <c r="B163" s="11" t="s">
        <v>1065</v>
      </c>
      <c r="C163" s="11" t="s">
        <v>860</v>
      </c>
      <c r="D163" s="11">
        <v>5</v>
      </c>
      <c r="E163" s="11">
        <v>2017</v>
      </c>
    </row>
    <row r="164" spans="1:5" hidden="1">
      <c r="A164" s="11">
        <v>2034</v>
      </c>
      <c r="B164" s="11" t="s">
        <v>1066</v>
      </c>
      <c r="C164" s="11" t="s">
        <v>859</v>
      </c>
      <c r="D164" s="11">
        <v>5</v>
      </c>
      <c r="E164" s="11">
        <v>2016</v>
      </c>
    </row>
    <row r="165" spans="1:5" hidden="1">
      <c r="A165" s="11">
        <v>2035</v>
      </c>
      <c r="B165" s="11" t="s">
        <v>1067</v>
      </c>
      <c r="C165" s="11" t="s">
        <v>858</v>
      </c>
      <c r="D165" s="11">
        <v>8</v>
      </c>
      <c r="E165" s="11">
        <v>2017</v>
      </c>
    </row>
    <row r="166" spans="1:5" hidden="1">
      <c r="A166" s="11">
        <v>2036</v>
      </c>
      <c r="B166" s="11" t="s">
        <v>1068</v>
      </c>
      <c r="C166" s="11" t="s">
        <v>857</v>
      </c>
      <c r="D166" s="11">
        <v>8</v>
      </c>
      <c r="E166" s="11">
        <v>2017</v>
      </c>
    </row>
    <row r="167" spans="1:5" hidden="1">
      <c r="A167" s="11">
        <v>2037</v>
      </c>
      <c r="B167" s="11" t="s">
        <v>1069</v>
      </c>
      <c r="C167" s="11" t="s">
        <v>856</v>
      </c>
      <c r="D167" s="11">
        <v>1</v>
      </c>
      <c r="E167" s="11">
        <v>2017</v>
      </c>
    </row>
    <row r="168" spans="1:5" hidden="1">
      <c r="A168" s="11">
        <v>2038</v>
      </c>
      <c r="B168" s="11" t="s">
        <v>1070</v>
      </c>
      <c r="C168" s="11" t="s">
        <v>855</v>
      </c>
      <c r="D168" s="11">
        <v>8</v>
      </c>
      <c r="E168" s="11">
        <v>2017</v>
      </c>
    </row>
    <row r="169" spans="1:5" hidden="1">
      <c r="A169" s="11">
        <v>2039</v>
      </c>
      <c r="B169" s="11" t="s">
        <v>1071</v>
      </c>
      <c r="C169" s="11" t="s">
        <v>854</v>
      </c>
      <c r="D169" s="11">
        <v>4</v>
      </c>
      <c r="E169" s="11">
        <v>2017</v>
      </c>
    </row>
    <row r="170" spans="1:5">
      <c r="A170" s="11">
        <v>2040</v>
      </c>
      <c r="B170" s="11" t="s">
        <v>1072</v>
      </c>
      <c r="C170" s="11" t="s">
        <v>662</v>
      </c>
    </row>
    <row r="171" spans="1:5" hidden="1">
      <c r="A171" s="11">
        <v>2041</v>
      </c>
      <c r="B171" s="11" t="s">
        <v>1073</v>
      </c>
      <c r="C171" s="11" t="s">
        <v>853</v>
      </c>
      <c r="D171" s="11">
        <v>12</v>
      </c>
      <c r="E171" s="11">
        <v>2016</v>
      </c>
    </row>
    <row r="172" spans="1:5" hidden="1">
      <c r="A172" s="11">
        <v>2042</v>
      </c>
      <c r="B172" s="11" t="s">
        <v>1074</v>
      </c>
      <c r="C172" s="11" t="s">
        <v>852</v>
      </c>
      <c r="D172" s="11">
        <v>7</v>
      </c>
      <c r="E172" s="11">
        <v>2016</v>
      </c>
    </row>
    <row r="173" spans="1:5" hidden="1">
      <c r="A173" s="11">
        <v>2043</v>
      </c>
      <c r="B173" s="11" t="s">
        <v>1075</v>
      </c>
      <c r="C173" s="11" t="s">
        <v>851</v>
      </c>
      <c r="D173" s="11">
        <v>10</v>
      </c>
      <c r="E173" s="11">
        <v>2016</v>
      </c>
    </row>
    <row r="174" spans="1:5" hidden="1">
      <c r="A174" s="11">
        <v>2044</v>
      </c>
      <c r="B174" s="11" t="s">
        <v>1076</v>
      </c>
      <c r="C174" s="11" t="s">
        <v>850</v>
      </c>
      <c r="D174" s="11">
        <v>12</v>
      </c>
      <c r="E174" s="11">
        <v>2015</v>
      </c>
    </row>
    <row r="175" spans="1:5">
      <c r="A175" s="11">
        <v>2045</v>
      </c>
      <c r="B175" s="11" t="s">
        <v>1077</v>
      </c>
      <c r="C175" s="11" t="s">
        <v>662</v>
      </c>
    </row>
    <row r="176" spans="1:5" hidden="1">
      <c r="A176" s="11">
        <v>2046</v>
      </c>
      <c r="B176" s="11" t="s">
        <v>1078</v>
      </c>
      <c r="C176" s="11" t="s">
        <v>849</v>
      </c>
      <c r="D176" s="11">
        <v>5</v>
      </c>
      <c r="E176" s="11">
        <v>2016</v>
      </c>
    </row>
    <row r="177" spans="1:5" hidden="1">
      <c r="A177" s="11">
        <v>2047</v>
      </c>
      <c r="B177" s="11" t="s">
        <v>1079</v>
      </c>
      <c r="C177" s="11" t="s">
        <v>848</v>
      </c>
      <c r="D177" s="11">
        <v>7</v>
      </c>
      <c r="E177" s="11">
        <v>2015</v>
      </c>
    </row>
    <row r="178" spans="1:5" hidden="1">
      <c r="A178" s="11">
        <v>2048</v>
      </c>
      <c r="B178" s="11" t="s">
        <v>1080</v>
      </c>
      <c r="C178" s="11" t="s">
        <v>847</v>
      </c>
      <c r="D178" s="11">
        <v>4</v>
      </c>
      <c r="E178" s="11">
        <v>2015</v>
      </c>
    </row>
    <row r="179" spans="1:5" hidden="1">
      <c r="A179" s="11">
        <v>2049</v>
      </c>
      <c r="B179" s="11" t="s">
        <v>1081</v>
      </c>
      <c r="C179" s="11" t="s">
        <v>846</v>
      </c>
      <c r="D179" s="11">
        <v>4</v>
      </c>
      <c r="E179" s="11">
        <v>2015</v>
      </c>
    </row>
    <row r="180" spans="1:5" hidden="1">
      <c r="A180" s="11">
        <v>2050</v>
      </c>
      <c r="B180" s="11" t="s">
        <v>1082</v>
      </c>
      <c r="C180" s="11" t="s">
        <v>845</v>
      </c>
      <c r="D180" s="11">
        <v>8</v>
      </c>
      <c r="E180" s="11">
        <v>2015</v>
      </c>
    </row>
    <row r="181" spans="1:5" hidden="1">
      <c r="A181" s="11">
        <v>2051</v>
      </c>
      <c r="B181" s="11" t="s">
        <v>1083</v>
      </c>
      <c r="C181" s="11" t="s">
        <v>844</v>
      </c>
      <c r="D181" s="11">
        <v>2</v>
      </c>
      <c r="E181" s="11">
        <v>2014</v>
      </c>
    </row>
    <row r="182" spans="1:5" hidden="1">
      <c r="A182" s="11">
        <v>2052</v>
      </c>
      <c r="B182" s="11" t="s">
        <v>1084</v>
      </c>
      <c r="C182" s="11" t="s">
        <v>843</v>
      </c>
      <c r="D182" s="11">
        <v>11</v>
      </c>
      <c r="E182" s="11">
        <v>2014</v>
      </c>
    </row>
    <row r="183" spans="1:5" hidden="1">
      <c r="A183" s="11">
        <v>2053</v>
      </c>
      <c r="B183" s="11" t="s">
        <v>1085</v>
      </c>
      <c r="C183" s="11" t="s">
        <v>842</v>
      </c>
      <c r="D183" s="11">
        <v>2</v>
      </c>
      <c r="E183" s="11">
        <v>2014</v>
      </c>
    </row>
    <row r="184" spans="1:5" hidden="1">
      <c r="A184" s="11">
        <v>2054</v>
      </c>
      <c r="B184" s="11" t="s">
        <v>1086</v>
      </c>
      <c r="C184" s="11" t="s">
        <v>841</v>
      </c>
      <c r="D184" s="11">
        <v>7</v>
      </c>
      <c r="E184" s="11">
        <v>2014</v>
      </c>
    </row>
    <row r="185" spans="1:5" hidden="1">
      <c r="A185" s="11">
        <v>2055</v>
      </c>
      <c r="B185" s="11" t="s">
        <v>1087</v>
      </c>
      <c r="C185" s="11" t="s">
        <v>840</v>
      </c>
      <c r="D185" s="11">
        <v>5</v>
      </c>
      <c r="E185" s="11">
        <v>2014</v>
      </c>
    </row>
    <row r="186" spans="1:5" hidden="1">
      <c r="A186" s="11">
        <v>2056</v>
      </c>
      <c r="B186" s="11" t="s">
        <v>1088</v>
      </c>
      <c r="C186" s="11" t="s">
        <v>839</v>
      </c>
      <c r="D186" s="11">
        <v>4</v>
      </c>
      <c r="E186" s="11">
        <v>2014</v>
      </c>
    </row>
    <row r="187" spans="1:5" hidden="1">
      <c r="A187" s="11">
        <v>2057</v>
      </c>
      <c r="B187" s="11" t="s">
        <v>1089</v>
      </c>
      <c r="C187" s="11" t="s">
        <v>838</v>
      </c>
      <c r="D187" s="11">
        <v>2</v>
      </c>
      <c r="E187" s="11">
        <v>2014</v>
      </c>
    </row>
    <row r="188" spans="1:5" hidden="1">
      <c r="A188" s="11">
        <v>2058</v>
      </c>
      <c r="B188" s="11" t="s">
        <v>1090</v>
      </c>
      <c r="C188" s="11" t="s">
        <v>837</v>
      </c>
      <c r="D188" s="11">
        <v>11</v>
      </c>
      <c r="E188" s="11">
        <v>2014</v>
      </c>
    </row>
    <row r="189" spans="1:5" hidden="1">
      <c r="A189" s="11">
        <v>2059</v>
      </c>
      <c r="B189" s="11" t="s">
        <v>1091</v>
      </c>
      <c r="C189" s="11" t="s">
        <v>836</v>
      </c>
      <c r="D189" s="11">
        <v>9</v>
      </c>
      <c r="E189" s="11">
        <v>2014</v>
      </c>
    </row>
    <row r="190" spans="1:5" hidden="1">
      <c r="A190" s="11">
        <v>2060</v>
      </c>
      <c r="B190" s="11" t="s">
        <v>1092</v>
      </c>
      <c r="C190" s="11" t="s">
        <v>835</v>
      </c>
      <c r="D190" s="11">
        <v>9</v>
      </c>
      <c r="E190" s="11">
        <v>2013</v>
      </c>
    </row>
    <row r="191" spans="1:5" hidden="1">
      <c r="A191" s="11">
        <v>2061</v>
      </c>
      <c r="B191" s="11" t="s">
        <v>1093</v>
      </c>
      <c r="C191" s="11" t="s">
        <v>834</v>
      </c>
      <c r="D191" s="11">
        <v>6</v>
      </c>
      <c r="E191" s="11">
        <v>2013</v>
      </c>
    </row>
    <row r="192" spans="1:5" hidden="1">
      <c r="A192" s="11">
        <v>2062</v>
      </c>
      <c r="B192" s="11" t="s">
        <v>1094</v>
      </c>
      <c r="C192" s="11" t="s">
        <v>833</v>
      </c>
      <c r="D192" s="11">
        <v>1</v>
      </c>
      <c r="E192" s="11">
        <v>2013</v>
      </c>
    </row>
    <row r="193" spans="1:5" hidden="1">
      <c r="A193" s="11">
        <v>2063</v>
      </c>
      <c r="B193" s="11" t="s">
        <v>1095</v>
      </c>
      <c r="C193" s="11" t="s">
        <v>832</v>
      </c>
      <c r="D193" s="11">
        <v>11</v>
      </c>
      <c r="E193" s="11">
        <v>2013</v>
      </c>
    </row>
    <row r="194" spans="1:5" hidden="1">
      <c r="A194" s="11">
        <v>2064</v>
      </c>
      <c r="B194" s="11" t="s">
        <v>1096</v>
      </c>
      <c r="C194" s="11" t="s">
        <v>831</v>
      </c>
      <c r="D194" s="11">
        <v>10</v>
      </c>
      <c r="E194" s="11">
        <v>2013</v>
      </c>
    </row>
    <row r="195" spans="1:5" hidden="1">
      <c r="A195" s="11">
        <v>2065</v>
      </c>
      <c r="B195" s="11" t="s">
        <v>1097</v>
      </c>
      <c r="C195" s="11" t="s">
        <v>830</v>
      </c>
      <c r="D195" s="11">
        <v>10</v>
      </c>
      <c r="E195" s="11">
        <v>2013</v>
      </c>
    </row>
    <row r="196" spans="1:5" hidden="1">
      <c r="A196" s="11">
        <v>2066</v>
      </c>
      <c r="B196" s="11" t="s">
        <v>1098</v>
      </c>
      <c r="C196" s="11" t="s">
        <v>829</v>
      </c>
      <c r="D196" s="11">
        <v>2</v>
      </c>
      <c r="E196" s="11">
        <v>2013</v>
      </c>
    </row>
    <row r="197" spans="1:5" hidden="1">
      <c r="A197" s="11">
        <v>2067</v>
      </c>
      <c r="B197" s="11" t="s">
        <v>1099</v>
      </c>
      <c r="C197" s="11" t="s">
        <v>828</v>
      </c>
      <c r="D197" s="11">
        <v>10</v>
      </c>
      <c r="E197" s="11">
        <v>2013</v>
      </c>
    </row>
    <row r="198" spans="1:5">
      <c r="A198" s="11">
        <v>2068</v>
      </c>
      <c r="B198" s="11" t="s">
        <v>1100</v>
      </c>
      <c r="C198" s="11" t="s">
        <v>662</v>
      </c>
    </row>
    <row r="199" spans="1:5" hidden="1">
      <c r="A199" s="11">
        <v>2069</v>
      </c>
      <c r="B199" s="11" t="s">
        <v>1101</v>
      </c>
      <c r="C199" s="11" t="s">
        <v>827</v>
      </c>
      <c r="D199" s="11">
        <v>10</v>
      </c>
      <c r="E199" s="11">
        <v>2012</v>
      </c>
    </row>
    <row r="200" spans="1:5" hidden="1">
      <c r="A200" s="11">
        <v>2070</v>
      </c>
      <c r="B200" s="11" t="s">
        <v>1102</v>
      </c>
      <c r="C200" s="11" t="s">
        <v>826</v>
      </c>
      <c r="D200" s="11">
        <v>8</v>
      </c>
      <c r="E200" s="11">
        <v>2012</v>
      </c>
    </row>
    <row r="201" spans="1:5" hidden="1">
      <c r="A201" s="11">
        <v>2071</v>
      </c>
      <c r="B201" s="11" t="s">
        <v>1103</v>
      </c>
      <c r="C201" s="11" t="s">
        <v>825</v>
      </c>
      <c r="D201" s="11">
        <v>9</v>
      </c>
      <c r="E201" s="11">
        <v>2012</v>
      </c>
    </row>
    <row r="202" spans="1:5" hidden="1">
      <c r="A202" s="11">
        <v>2072</v>
      </c>
      <c r="B202" s="11" t="s">
        <v>1104</v>
      </c>
      <c r="C202" s="11" t="s">
        <v>824</v>
      </c>
      <c r="D202" s="11">
        <v>12</v>
      </c>
      <c r="E202" s="11">
        <v>2012</v>
      </c>
    </row>
    <row r="203" spans="1:5" hidden="1">
      <c r="A203" s="11">
        <v>2073</v>
      </c>
      <c r="B203" s="11" t="s">
        <v>1105</v>
      </c>
      <c r="C203" s="11" t="s">
        <v>823</v>
      </c>
      <c r="D203" s="11">
        <v>12</v>
      </c>
      <c r="E203" s="11">
        <v>2012</v>
      </c>
    </row>
    <row r="204" spans="1:5" hidden="1">
      <c r="A204" s="11">
        <v>2074</v>
      </c>
      <c r="B204" s="11" t="s">
        <v>1106</v>
      </c>
      <c r="C204" s="11" t="s">
        <v>822</v>
      </c>
      <c r="D204" s="11">
        <v>5</v>
      </c>
      <c r="E204" s="11">
        <v>2011</v>
      </c>
    </row>
    <row r="205" spans="1:5" hidden="1">
      <c r="A205" s="11">
        <v>2075</v>
      </c>
      <c r="B205" s="11" t="s">
        <v>1107</v>
      </c>
      <c r="C205" s="11" t="s">
        <v>821</v>
      </c>
      <c r="D205" s="11">
        <v>8</v>
      </c>
      <c r="E205" s="11">
        <v>2011</v>
      </c>
    </row>
    <row r="206" spans="1:5" hidden="1">
      <c r="A206" s="11">
        <v>2076</v>
      </c>
      <c r="B206" s="11" t="s">
        <v>1108</v>
      </c>
      <c r="C206" s="11" t="s">
        <v>820</v>
      </c>
      <c r="D206" s="11">
        <v>12</v>
      </c>
      <c r="E206" s="11">
        <v>2011</v>
      </c>
    </row>
    <row r="207" spans="1:5" hidden="1">
      <c r="A207" s="11">
        <v>2077</v>
      </c>
      <c r="B207" s="11" t="s">
        <v>609</v>
      </c>
      <c r="C207" s="11" t="s">
        <v>819</v>
      </c>
      <c r="D207" s="11">
        <v>2</v>
      </c>
      <c r="E207" s="11">
        <v>2011</v>
      </c>
    </row>
    <row r="208" spans="1:5" hidden="1">
      <c r="A208" s="11">
        <v>2078</v>
      </c>
      <c r="B208" s="11" t="s">
        <v>1109</v>
      </c>
      <c r="C208" s="11" t="s">
        <v>818</v>
      </c>
      <c r="D208" s="11">
        <v>7</v>
      </c>
      <c r="E208" s="11">
        <v>2011</v>
      </c>
    </row>
    <row r="209" spans="1:5" hidden="1">
      <c r="A209" s="11">
        <v>2079</v>
      </c>
      <c r="B209" s="11" t="s">
        <v>1110</v>
      </c>
      <c r="C209" s="11" t="s">
        <v>817</v>
      </c>
      <c r="D209" s="11">
        <v>3</v>
      </c>
      <c r="E209" s="11">
        <v>2011</v>
      </c>
    </row>
    <row r="210" spans="1:5" hidden="1">
      <c r="A210" s="11">
        <v>2080</v>
      </c>
      <c r="B210" s="11" t="s">
        <v>1111</v>
      </c>
      <c r="C210" s="11" t="s">
        <v>816</v>
      </c>
      <c r="D210" s="11">
        <v>7</v>
      </c>
      <c r="E210" s="11">
        <v>2011</v>
      </c>
    </row>
    <row r="211" spans="1:5" hidden="1">
      <c r="A211" s="11">
        <v>2081</v>
      </c>
      <c r="B211" s="11" t="s">
        <v>1112</v>
      </c>
      <c r="C211" s="11" t="s">
        <v>815</v>
      </c>
      <c r="D211" s="11">
        <v>9</v>
      </c>
      <c r="E211" s="11">
        <v>2011</v>
      </c>
    </row>
    <row r="212" spans="1:5" hidden="1">
      <c r="A212" s="11">
        <v>2082</v>
      </c>
      <c r="B212" s="11" t="s">
        <v>1113</v>
      </c>
      <c r="C212" s="11" t="s">
        <v>814</v>
      </c>
      <c r="D212" s="11">
        <v>12</v>
      </c>
      <c r="E212" s="11">
        <v>2009</v>
      </c>
    </row>
    <row r="213" spans="1:5" hidden="1">
      <c r="A213" s="11">
        <v>2083</v>
      </c>
      <c r="B213" s="11" t="s">
        <v>610</v>
      </c>
      <c r="C213" s="11" t="s">
        <v>813</v>
      </c>
      <c r="D213" s="11">
        <v>2</v>
      </c>
      <c r="E213" s="11">
        <v>2010</v>
      </c>
    </row>
    <row r="214" spans="1:5" hidden="1">
      <c r="A214" s="11">
        <v>2084</v>
      </c>
      <c r="B214" s="11" t="s">
        <v>1114</v>
      </c>
      <c r="C214" s="11" t="s">
        <v>812</v>
      </c>
      <c r="D214" s="11">
        <v>11</v>
      </c>
      <c r="E214" s="11">
        <v>2009</v>
      </c>
    </row>
    <row r="215" spans="1:5" hidden="1">
      <c r="A215" s="11">
        <v>2085</v>
      </c>
      <c r="B215" s="11" t="s">
        <v>1115</v>
      </c>
      <c r="C215" s="11" t="s">
        <v>811</v>
      </c>
      <c r="D215" s="11">
        <v>5</v>
      </c>
      <c r="E215" s="11">
        <v>2010</v>
      </c>
    </row>
    <row r="216" spans="1:5" hidden="1">
      <c r="A216" s="11">
        <v>2086</v>
      </c>
      <c r="B216" s="11" t="s">
        <v>1116</v>
      </c>
      <c r="C216" s="11" t="s">
        <v>810</v>
      </c>
      <c r="D216" s="11">
        <v>10</v>
      </c>
      <c r="E216" s="11">
        <v>2010</v>
      </c>
    </row>
    <row r="217" spans="1:5" hidden="1">
      <c r="A217" s="11">
        <v>2087</v>
      </c>
      <c r="B217" s="11" t="s">
        <v>1117</v>
      </c>
      <c r="C217" s="11" t="s">
        <v>809</v>
      </c>
      <c r="D217" s="11">
        <v>8</v>
      </c>
      <c r="E217" s="11">
        <v>2010</v>
      </c>
    </row>
    <row r="218" spans="1:5" hidden="1">
      <c r="A218" s="11">
        <v>2088</v>
      </c>
      <c r="B218" s="11" t="s">
        <v>1118</v>
      </c>
      <c r="C218" s="11" t="s">
        <v>808</v>
      </c>
      <c r="D218" s="11">
        <v>3</v>
      </c>
      <c r="E218" s="11">
        <v>2010</v>
      </c>
    </row>
    <row r="219" spans="1:5" hidden="1">
      <c r="A219" s="11">
        <v>2089</v>
      </c>
      <c r="B219" s="11" t="s">
        <v>1119</v>
      </c>
      <c r="C219" s="11" t="s">
        <v>807</v>
      </c>
      <c r="D219" s="11">
        <v>7</v>
      </c>
      <c r="E219" s="11">
        <v>2009</v>
      </c>
    </row>
    <row r="220" spans="1:5" hidden="1">
      <c r="A220" s="11">
        <v>2090</v>
      </c>
      <c r="B220" s="11" t="s">
        <v>1120</v>
      </c>
      <c r="C220" s="11" t="s">
        <v>806</v>
      </c>
      <c r="D220" s="11">
        <v>10</v>
      </c>
      <c r="E220" s="11">
        <v>2009</v>
      </c>
    </row>
    <row r="221" spans="1:5" hidden="1">
      <c r="A221" s="11">
        <v>2091</v>
      </c>
      <c r="B221" s="11" t="s">
        <v>1121</v>
      </c>
      <c r="C221" s="11" t="s">
        <v>805</v>
      </c>
      <c r="D221" s="11">
        <v>5</v>
      </c>
      <c r="E221" s="11">
        <v>2009</v>
      </c>
    </row>
    <row r="222" spans="1:5" hidden="1">
      <c r="A222" s="11">
        <v>2092</v>
      </c>
      <c r="B222" s="11" t="s">
        <v>1122</v>
      </c>
      <c r="C222" s="11" t="s">
        <v>804</v>
      </c>
      <c r="D222" s="11">
        <v>1</v>
      </c>
      <c r="E222" s="11">
        <v>2009</v>
      </c>
    </row>
    <row r="223" spans="1:5" hidden="1">
      <c r="A223" s="11">
        <v>2093</v>
      </c>
      <c r="B223" s="11" t="s">
        <v>1123</v>
      </c>
      <c r="C223" s="11" t="s">
        <v>803</v>
      </c>
      <c r="D223" s="11">
        <v>7</v>
      </c>
      <c r="E223" s="11">
        <v>2009</v>
      </c>
    </row>
    <row r="224" spans="1:5" hidden="1">
      <c r="A224" s="11">
        <v>2094</v>
      </c>
      <c r="B224" s="11" t="s">
        <v>1124</v>
      </c>
      <c r="C224" s="11" t="s">
        <v>802</v>
      </c>
      <c r="D224" s="11">
        <v>12</v>
      </c>
      <c r="E224" s="11">
        <v>2008</v>
      </c>
    </row>
    <row r="225" spans="1:5" hidden="1">
      <c r="A225" s="11">
        <v>2095</v>
      </c>
      <c r="B225" s="11" t="s">
        <v>1125</v>
      </c>
      <c r="C225" s="11" t="s">
        <v>801</v>
      </c>
      <c r="D225" s="11">
        <v>12</v>
      </c>
      <c r="E225" s="11">
        <v>2008</v>
      </c>
    </row>
    <row r="226" spans="1:5" hidden="1">
      <c r="A226" s="11">
        <v>2096</v>
      </c>
      <c r="B226" s="11" t="s">
        <v>1126</v>
      </c>
      <c r="C226" s="11" t="s">
        <v>800</v>
      </c>
      <c r="D226" s="11">
        <v>1</v>
      </c>
      <c r="E226" s="11">
        <v>2009</v>
      </c>
    </row>
    <row r="227" spans="1:5" hidden="1">
      <c r="A227" s="11">
        <v>2097</v>
      </c>
      <c r="B227" s="11" t="s">
        <v>1127</v>
      </c>
      <c r="C227" s="11" t="s">
        <v>799</v>
      </c>
      <c r="D227" s="11">
        <v>6</v>
      </c>
      <c r="E227" s="11">
        <v>2009</v>
      </c>
    </row>
    <row r="228" spans="1:5" hidden="1">
      <c r="A228" s="11">
        <v>2098</v>
      </c>
      <c r="B228" s="11" t="s">
        <v>1128</v>
      </c>
      <c r="C228" s="11" t="s">
        <v>798</v>
      </c>
      <c r="D228" s="11">
        <v>5</v>
      </c>
      <c r="E228" s="11">
        <v>2009</v>
      </c>
    </row>
    <row r="229" spans="1:5" hidden="1">
      <c r="A229" s="11">
        <v>2099</v>
      </c>
      <c r="B229" s="11" t="s">
        <v>1129</v>
      </c>
      <c r="C229" s="11" t="s">
        <v>797</v>
      </c>
      <c r="D229" s="11">
        <v>4</v>
      </c>
      <c r="E229" s="11">
        <v>2009</v>
      </c>
    </row>
    <row r="230" spans="1:5" hidden="1">
      <c r="A230" s="11">
        <v>2100</v>
      </c>
      <c r="B230" s="11" t="s">
        <v>1130</v>
      </c>
      <c r="C230" s="11" t="s">
        <v>796</v>
      </c>
      <c r="D230" s="11">
        <v>3</v>
      </c>
      <c r="E230" s="11">
        <v>2009</v>
      </c>
    </row>
    <row r="231" spans="1:5" hidden="1">
      <c r="A231" s="11">
        <v>2101</v>
      </c>
      <c r="B231" s="11" t="s">
        <v>1131</v>
      </c>
      <c r="C231" s="11" t="s">
        <v>795</v>
      </c>
      <c r="D231" s="11">
        <v>2</v>
      </c>
      <c r="E231" s="11">
        <v>2008</v>
      </c>
    </row>
    <row r="232" spans="1:5" hidden="1">
      <c r="A232" s="11">
        <v>2102</v>
      </c>
      <c r="B232" s="11" t="s">
        <v>1132</v>
      </c>
      <c r="C232" s="11" t="s">
        <v>794</v>
      </c>
      <c r="D232" s="11">
        <v>5</v>
      </c>
      <c r="E232" s="11">
        <v>2008</v>
      </c>
    </row>
    <row r="233" spans="1:5" hidden="1">
      <c r="A233" s="11">
        <v>2103</v>
      </c>
      <c r="B233" s="11" t="s">
        <v>1133</v>
      </c>
      <c r="C233" s="11" t="s">
        <v>793</v>
      </c>
      <c r="D233" s="11">
        <v>1</v>
      </c>
      <c r="E233" s="11">
        <v>2008</v>
      </c>
    </row>
    <row r="234" spans="1:5" hidden="1">
      <c r="A234" s="11">
        <v>2104</v>
      </c>
      <c r="B234" s="11" t="s">
        <v>1134</v>
      </c>
      <c r="C234" s="11" t="s">
        <v>792</v>
      </c>
      <c r="D234" s="11">
        <v>11</v>
      </c>
      <c r="E234" s="11">
        <v>2008</v>
      </c>
    </row>
    <row r="235" spans="1:5" hidden="1">
      <c r="A235" s="11">
        <v>2105</v>
      </c>
      <c r="B235" s="11" t="s">
        <v>1135</v>
      </c>
      <c r="C235" s="11" t="s">
        <v>791</v>
      </c>
      <c r="D235" s="11">
        <v>5</v>
      </c>
      <c r="E235" s="11">
        <v>2008</v>
      </c>
    </row>
    <row r="236" spans="1:5" hidden="1">
      <c r="A236" s="11">
        <v>2106</v>
      </c>
      <c r="B236" s="11" t="s">
        <v>1136</v>
      </c>
      <c r="C236" s="11" t="s">
        <v>790</v>
      </c>
      <c r="D236" s="11">
        <v>3</v>
      </c>
      <c r="E236" s="11">
        <v>2008</v>
      </c>
    </row>
    <row r="237" spans="1:5" hidden="1">
      <c r="A237" s="11">
        <v>2107</v>
      </c>
      <c r="B237" s="11" t="s">
        <v>1137</v>
      </c>
      <c r="C237" s="11" t="s">
        <v>789</v>
      </c>
      <c r="D237" s="11">
        <v>5</v>
      </c>
      <c r="E237" s="11">
        <v>2008</v>
      </c>
    </row>
    <row r="238" spans="1:5" hidden="1">
      <c r="A238" s="11">
        <v>2108</v>
      </c>
      <c r="B238" s="11" t="s">
        <v>1138</v>
      </c>
      <c r="C238" s="11" t="s">
        <v>788</v>
      </c>
      <c r="D238" s="11">
        <v>2</v>
      </c>
      <c r="E238" s="11">
        <v>2008</v>
      </c>
    </row>
    <row r="239" spans="1:5" hidden="1">
      <c r="A239" s="11">
        <v>2109</v>
      </c>
      <c r="B239" s="11" t="s">
        <v>1139</v>
      </c>
      <c r="C239" s="11" t="s">
        <v>787</v>
      </c>
      <c r="D239" s="11">
        <v>2</v>
      </c>
      <c r="E239" s="11">
        <v>2008</v>
      </c>
    </row>
    <row r="240" spans="1:5" hidden="1">
      <c r="A240" s="11">
        <v>2110</v>
      </c>
      <c r="B240" s="11" t="s">
        <v>1140</v>
      </c>
      <c r="C240" s="11" t="s">
        <v>786</v>
      </c>
      <c r="D240" s="11">
        <v>4</v>
      </c>
      <c r="E240" s="11">
        <v>2008</v>
      </c>
    </row>
    <row r="241" spans="1:5" hidden="1">
      <c r="A241" s="11">
        <v>2111</v>
      </c>
      <c r="B241" s="11" t="s">
        <v>1141</v>
      </c>
      <c r="C241" s="11" t="s">
        <v>785</v>
      </c>
      <c r="D241" s="11">
        <v>1</v>
      </c>
      <c r="E241" s="11">
        <v>2008</v>
      </c>
    </row>
    <row r="242" spans="1:5" hidden="1">
      <c r="A242" s="11">
        <v>2112</v>
      </c>
      <c r="B242" s="11" t="s">
        <v>1142</v>
      </c>
      <c r="C242" s="11" t="s">
        <v>784</v>
      </c>
      <c r="D242" s="11">
        <v>10</v>
      </c>
      <c r="E242" s="11">
        <v>2007</v>
      </c>
    </row>
    <row r="243" spans="1:5" hidden="1">
      <c r="A243" s="11">
        <v>2113</v>
      </c>
      <c r="B243" s="11" t="s">
        <v>1143</v>
      </c>
      <c r="C243" s="11" t="s">
        <v>783</v>
      </c>
      <c r="D243" s="11">
        <v>2</v>
      </c>
      <c r="E243" s="11">
        <v>2007</v>
      </c>
    </row>
    <row r="244" spans="1:5" hidden="1">
      <c r="A244" s="11">
        <v>2114</v>
      </c>
      <c r="B244" s="11" t="s">
        <v>1144</v>
      </c>
      <c r="C244" s="11" t="s">
        <v>782</v>
      </c>
      <c r="D244" s="11">
        <v>1</v>
      </c>
      <c r="E244" s="11">
        <v>2007</v>
      </c>
    </row>
    <row r="245" spans="1:5" hidden="1">
      <c r="A245" s="11">
        <v>2115</v>
      </c>
      <c r="B245" s="11" t="s">
        <v>1145</v>
      </c>
      <c r="C245" s="11" t="s">
        <v>781</v>
      </c>
      <c r="D245" s="11">
        <v>7</v>
      </c>
      <c r="E245" s="11">
        <v>2007</v>
      </c>
    </row>
    <row r="246" spans="1:5" hidden="1">
      <c r="A246" s="11">
        <v>2116</v>
      </c>
      <c r="B246" s="11" t="s">
        <v>1146</v>
      </c>
      <c r="C246" s="11" t="s">
        <v>780</v>
      </c>
      <c r="D246" s="11">
        <v>10</v>
      </c>
      <c r="E246" s="11">
        <v>2007</v>
      </c>
    </row>
    <row r="247" spans="1:5" hidden="1">
      <c r="A247" s="11">
        <v>2117</v>
      </c>
      <c r="B247" s="11" t="s">
        <v>1147</v>
      </c>
      <c r="C247" s="11" t="s">
        <v>779</v>
      </c>
      <c r="D247" s="11">
        <v>2</v>
      </c>
      <c r="E247" s="11">
        <v>2007</v>
      </c>
    </row>
    <row r="248" spans="1:5" hidden="1">
      <c r="A248" s="11">
        <v>2118</v>
      </c>
      <c r="B248" s="11" t="s">
        <v>1148</v>
      </c>
      <c r="C248" s="11" t="s">
        <v>778</v>
      </c>
      <c r="D248" s="11">
        <v>6</v>
      </c>
      <c r="E248" s="11">
        <v>2007</v>
      </c>
    </row>
    <row r="249" spans="1:5" hidden="1">
      <c r="A249" s="11">
        <v>2119</v>
      </c>
      <c r="B249" s="11" t="s">
        <v>1149</v>
      </c>
      <c r="C249" s="11" t="s">
        <v>777</v>
      </c>
      <c r="D249" s="11">
        <v>4</v>
      </c>
      <c r="E249" s="11">
        <v>2007</v>
      </c>
    </row>
    <row r="250" spans="1:5" hidden="1">
      <c r="A250" s="11">
        <v>2120</v>
      </c>
      <c r="B250" s="11" t="s">
        <v>1150</v>
      </c>
      <c r="C250" s="11" t="s">
        <v>776</v>
      </c>
      <c r="D250" s="11">
        <v>8</v>
      </c>
      <c r="E250" s="11">
        <v>2007</v>
      </c>
    </row>
    <row r="251" spans="1:5" hidden="1">
      <c r="A251" s="11">
        <v>2121</v>
      </c>
      <c r="B251" s="11" t="s">
        <v>1151</v>
      </c>
      <c r="C251" s="11" t="s">
        <v>775</v>
      </c>
      <c r="D251" s="11">
        <v>9</v>
      </c>
      <c r="E251" s="11">
        <v>2007</v>
      </c>
    </row>
    <row r="252" spans="1:5" hidden="1">
      <c r="A252" s="11">
        <v>2122</v>
      </c>
      <c r="B252" s="11" t="s">
        <v>1152</v>
      </c>
      <c r="C252" s="11" t="s">
        <v>774</v>
      </c>
      <c r="D252" s="11">
        <v>1</v>
      </c>
      <c r="E252" s="11">
        <v>2007</v>
      </c>
    </row>
    <row r="253" spans="1:5" hidden="1">
      <c r="A253" s="11">
        <v>2123</v>
      </c>
      <c r="B253" s="11" t="s">
        <v>1153</v>
      </c>
      <c r="C253" s="11" t="s">
        <v>773</v>
      </c>
      <c r="D253" s="11">
        <v>8</v>
      </c>
      <c r="E253" s="11">
        <v>2007</v>
      </c>
    </row>
    <row r="254" spans="1:5" hidden="1">
      <c r="A254" s="11">
        <v>2124</v>
      </c>
      <c r="B254" s="11" t="s">
        <v>1154</v>
      </c>
      <c r="C254" s="11" t="s">
        <v>772</v>
      </c>
      <c r="D254" s="11">
        <v>8</v>
      </c>
      <c r="E254" s="11">
        <v>2007</v>
      </c>
    </row>
    <row r="255" spans="1:5" hidden="1">
      <c r="A255" s="11">
        <v>2125</v>
      </c>
      <c r="B255" s="11" t="s">
        <v>1155</v>
      </c>
      <c r="C255" s="11" t="s">
        <v>771</v>
      </c>
      <c r="D255" s="11">
        <v>5</v>
      </c>
      <c r="E255" s="11">
        <v>2007</v>
      </c>
    </row>
    <row r="256" spans="1:5" hidden="1">
      <c r="A256" s="11">
        <v>2126</v>
      </c>
      <c r="B256" s="11" t="s">
        <v>1156</v>
      </c>
      <c r="C256" s="11" t="s">
        <v>770</v>
      </c>
      <c r="D256" s="11">
        <v>1</v>
      </c>
      <c r="E256" s="11">
        <v>2007</v>
      </c>
    </row>
    <row r="257" spans="1:5" hidden="1">
      <c r="A257" s="11">
        <v>2127</v>
      </c>
      <c r="B257" s="11" t="s">
        <v>1157</v>
      </c>
      <c r="C257" s="11" t="s">
        <v>769</v>
      </c>
      <c r="D257" s="11">
        <v>6</v>
      </c>
      <c r="E257" s="11">
        <v>2007</v>
      </c>
    </row>
    <row r="258" spans="1:5" hidden="1">
      <c r="A258" s="11">
        <v>2128</v>
      </c>
      <c r="B258" s="11" t="s">
        <v>1158</v>
      </c>
      <c r="C258" s="11" t="s">
        <v>768</v>
      </c>
      <c r="D258" s="11">
        <v>10</v>
      </c>
      <c r="E258" s="11">
        <v>2007</v>
      </c>
    </row>
    <row r="259" spans="1:5" hidden="1">
      <c r="A259" s="11">
        <v>2129</v>
      </c>
      <c r="B259" s="11" t="s">
        <v>1159</v>
      </c>
      <c r="C259" s="11" t="s">
        <v>767</v>
      </c>
      <c r="D259" s="11">
        <v>4</v>
      </c>
      <c r="E259" s="11">
        <v>2007</v>
      </c>
    </row>
    <row r="260" spans="1:5" hidden="1">
      <c r="A260" s="11">
        <v>2130</v>
      </c>
      <c r="B260" s="11" t="s">
        <v>611</v>
      </c>
      <c r="C260" s="11" t="s">
        <v>766</v>
      </c>
      <c r="D260" s="11">
        <v>12</v>
      </c>
      <c r="E260" s="11">
        <v>2006</v>
      </c>
    </row>
    <row r="261" spans="1:5" hidden="1">
      <c r="A261" s="11">
        <v>2131</v>
      </c>
      <c r="B261" s="11" t="s">
        <v>1160</v>
      </c>
      <c r="C261" s="11" t="s">
        <v>765</v>
      </c>
      <c r="D261" s="11">
        <v>2</v>
      </c>
      <c r="E261" s="11">
        <v>2006</v>
      </c>
    </row>
    <row r="262" spans="1:5" hidden="1">
      <c r="A262" s="11">
        <v>2132</v>
      </c>
      <c r="B262" s="11" t="s">
        <v>612</v>
      </c>
      <c r="C262" s="11" t="s">
        <v>764</v>
      </c>
      <c r="D262" s="11">
        <v>9</v>
      </c>
      <c r="E262" s="11">
        <v>2006</v>
      </c>
    </row>
    <row r="263" spans="1:5" hidden="1">
      <c r="A263" s="11">
        <v>2133</v>
      </c>
      <c r="B263" s="11" t="s">
        <v>613</v>
      </c>
      <c r="C263" s="11" t="s">
        <v>763</v>
      </c>
      <c r="D263" s="11">
        <v>1</v>
      </c>
      <c r="E263" s="11">
        <v>2006</v>
      </c>
    </row>
    <row r="264" spans="1:5" hidden="1">
      <c r="A264" s="11">
        <v>2134</v>
      </c>
      <c r="B264" s="11" t="s">
        <v>614</v>
      </c>
      <c r="C264" s="11" t="s">
        <v>762</v>
      </c>
      <c r="D264" s="11">
        <v>7</v>
      </c>
      <c r="E264" s="11">
        <v>2006</v>
      </c>
    </row>
    <row r="265" spans="1:5" hidden="1">
      <c r="A265" s="11">
        <v>2135</v>
      </c>
      <c r="B265" s="11" t="s">
        <v>615</v>
      </c>
      <c r="C265" s="11" t="s">
        <v>761</v>
      </c>
      <c r="D265" s="11">
        <v>3</v>
      </c>
      <c r="E265" s="11">
        <v>2006</v>
      </c>
    </row>
    <row r="266" spans="1:5" hidden="1">
      <c r="A266" s="11">
        <v>2136</v>
      </c>
      <c r="B266" s="11" t="s">
        <v>1161</v>
      </c>
      <c r="C266" s="11" t="s">
        <v>760</v>
      </c>
      <c r="D266" s="11">
        <v>3</v>
      </c>
      <c r="E266" s="11">
        <v>2006</v>
      </c>
    </row>
    <row r="267" spans="1:5" hidden="1">
      <c r="A267" s="11">
        <v>2137</v>
      </c>
      <c r="B267" s="11" t="s">
        <v>616</v>
      </c>
      <c r="C267" s="11" t="s">
        <v>759</v>
      </c>
      <c r="D267" s="11">
        <v>6</v>
      </c>
      <c r="E267" s="11">
        <v>2006</v>
      </c>
    </row>
    <row r="268" spans="1:5" hidden="1">
      <c r="A268" s="11">
        <v>2138</v>
      </c>
      <c r="B268" s="11" t="s">
        <v>617</v>
      </c>
      <c r="C268" s="11" t="s">
        <v>758</v>
      </c>
      <c r="D268" s="11">
        <v>10</v>
      </c>
      <c r="E268" s="11">
        <v>2006</v>
      </c>
    </row>
    <row r="269" spans="1:5" hidden="1">
      <c r="A269" s="11">
        <v>2139</v>
      </c>
      <c r="B269" s="11" t="s">
        <v>1162</v>
      </c>
      <c r="C269" s="11" t="s">
        <v>757</v>
      </c>
      <c r="D269" s="11">
        <v>7</v>
      </c>
      <c r="E269" s="11">
        <v>2006</v>
      </c>
    </row>
    <row r="270" spans="1:5" hidden="1">
      <c r="A270" s="11">
        <v>2140</v>
      </c>
      <c r="B270" s="11" t="s">
        <v>618</v>
      </c>
      <c r="C270" s="11" t="s">
        <v>756</v>
      </c>
      <c r="D270" s="11">
        <v>7</v>
      </c>
      <c r="E270" s="11">
        <v>2005</v>
      </c>
    </row>
    <row r="271" spans="1:5" hidden="1">
      <c r="A271" s="11">
        <v>2141</v>
      </c>
      <c r="B271" s="11" t="s">
        <v>619</v>
      </c>
      <c r="C271" s="11" t="s">
        <v>755</v>
      </c>
      <c r="D271" s="11">
        <v>4</v>
      </c>
      <c r="E271" s="11">
        <v>2005</v>
      </c>
    </row>
    <row r="272" spans="1:5" hidden="1">
      <c r="A272" s="11">
        <v>2142</v>
      </c>
      <c r="B272" s="11" t="s">
        <v>1163</v>
      </c>
      <c r="C272" s="11" t="s">
        <v>754</v>
      </c>
      <c r="D272" s="11">
        <v>4</v>
      </c>
      <c r="E272" s="11">
        <v>2005</v>
      </c>
    </row>
    <row r="273" spans="1:5" hidden="1">
      <c r="A273" s="11">
        <v>2143</v>
      </c>
      <c r="B273" s="11" t="s">
        <v>620</v>
      </c>
      <c r="C273" s="11" t="s">
        <v>753</v>
      </c>
      <c r="D273" s="11">
        <v>10</v>
      </c>
      <c r="E273" s="11">
        <v>2005</v>
      </c>
    </row>
    <row r="274" spans="1:5" hidden="1">
      <c r="A274" s="11">
        <v>2144</v>
      </c>
      <c r="B274" s="11" t="s">
        <v>1164</v>
      </c>
      <c r="C274" s="11" t="s">
        <v>752</v>
      </c>
      <c r="D274" s="11">
        <v>12</v>
      </c>
      <c r="E274" s="11">
        <v>2005</v>
      </c>
    </row>
    <row r="275" spans="1:5" hidden="1">
      <c r="A275" s="11">
        <v>2145</v>
      </c>
      <c r="B275" s="11" t="s">
        <v>1165</v>
      </c>
      <c r="C275" s="11" t="s">
        <v>751</v>
      </c>
      <c r="D275" s="11">
        <v>1</v>
      </c>
      <c r="E275" s="11">
        <v>2004</v>
      </c>
    </row>
    <row r="276" spans="1:5" hidden="1">
      <c r="A276" s="11">
        <v>2146</v>
      </c>
      <c r="B276" s="11" t="s">
        <v>621</v>
      </c>
      <c r="C276" s="11" t="s">
        <v>750</v>
      </c>
      <c r="D276" s="11">
        <v>6</v>
      </c>
      <c r="E276" s="11">
        <v>2004</v>
      </c>
    </row>
    <row r="277" spans="1:5" hidden="1">
      <c r="A277" s="11">
        <v>2147</v>
      </c>
      <c r="B277" s="11" t="s">
        <v>622</v>
      </c>
      <c r="C277" s="11" t="s">
        <v>749</v>
      </c>
      <c r="D277" s="11">
        <v>3</v>
      </c>
      <c r="E277" s="11">
        <v>2004</v>
      </c>
    </row>
    <row r="278" spans="1:5">
      <c r="A278" s="11">
        <v>2148</v>
      </c>
      <c r="B278" s="11" t="s">
        <v>1166</v>
      </c>
      <c r="C278" s="11" t="s">
        <v>662</v>
      </c>
    </row>
    <row r="279" spans="1:5">
      <c r="A279" s="11">
        <v>2149</v>
      </c>
      <c r="B279" s="11" t="s">
        <v>623</v>
      </c>
      <c r="C279" s="11" t="s">
        <v>1252</v>
      </c>
      <c r="D279" s="11">
        <v>9</v>
      </c>
      <c r="E279" s="11">
        <v>2003</v>
      </c>
    </row>
    <row r="280" spans="1:5" hidden="1">
      <c r="A280" s="11">
        <v>2150</v>
      </c>
      <c r="B280" s="11" t="s">
        <v>1167</v>
      </c>
      <c r="C280" s="11" t="s">
        <v>748</v>
      </c>
      <c r="D280" s="11">
        <v>1</v>
      </c>
      <c r="E280" s="11">
        <v>2003</v>
      </c>
    </row>
    <row r="281" spans="1:5">
      <c r="A281" s="11">
        <v>2151</v>
      </c>
      <c r="B281" s="11" t="s">
        <v>1168</v>
      </c>
      <c r="C281" s="11" t="s">
        <v>662</v>
      </c>
    </row>
    <row r="282" spans="1:5">
      <c r="A282" s="11">
        <v>2152</v>
      </c>
      <c r="B282" s="11" t="s">
        <v>1169</v>
      </c>
      <c r="C282" s="11" t="s">
        <v>662</v>
      </c>
    </row>
    <row r="283" spans="1:5" hidden="1">
      <c r="A283" s="11">
        <v>2153</v>
      </c>
      <c r="B283" s="11" t="s">
        <v>1170</v>
      </c>
      <c r="C283" s="11" t="s">
        <v>747</v>
      </c>
      <c r="D283" s="11">
        <v>5</v>
      </c>
      <c r="E283" s="11">
        <v>1993</v>
      </c>
    </row>
    <row r="284" spans="1:5">
      <c r="A284" s="11">
        <v>2154</v>
      </c>
      <c r="B284" s="11" t="s">
        <v>1171</v>
      </c>
      <c r="C284" s="11" t="s">
        <v>662</v>
      </c>
    </row>
    <row r="285" spans="1:5">
      <c r="A285" s="11">
        <v>2155</v>
      </c>
      <c r="B285" s="11" t="s">
        <v>1172</v>
      </c>
      <c r="C285" s="11" t="s">
        <v>662</v>
      </c>
    </row>
    <row r="286" spans="1:5" hidden="1">
      <c r="A286" s="11">
        <v>2156</v>
      </c>
      <c r="B286" s="11" t="s">
        <v>1173</v>
      </c>
      <c r="C286" s="11" t="s">
        <v>746</v>
      </c>
      <c r="D286" s="11">
        <v>2</v>
      </c>
      <c r="E286" s="11">
        <v>1987</v>
      </c>
    </row>
    <row r="287" spans="1:5">
      <c r="A287" s="11">
        <v>2157</v>
      </c>
      <c r="B287" s="11" t="s">
        <v>1174</v>
      </c>
      <c r="C287" s="11" t="s">
        <v>662</v>
      </c>
    </row>
    <row r="288" spans="1:5" hidden="1">
      <c r="A288" s="11">
        <v>2158</v>
      </c>
      <c r="B288" s="11" t="s">
        <v>624</v>
      </c>
      <c r="C288" s="11" t="s">
        <v>745</v>
      </c>
      <c r="D288" s="11">
        <v>3</v>
      </c>
      <c r="E288" s="11">
        <v>2021</v>
      </c>
    </row>
    <row r="289" spans="1:5" hidden="1">
      <c r="A289" s="11">
        <v>2159</v>
      </c>
      <c r="B289" s="11" t="s">
        <v>1175</v>
      </c>
      <c r="C289" s="11" t="s">
        <v>744</v>
      </c>
      <c r="D289" s="11">
        <v>8</v>
      </c>
      <c r="E289" s="11">
        <v>2021</v>
      </c>
    </row>
    <row r="290" spans="1:5" hidden="1">
      <c r="A290" s="11">
        <v>2160</v>
      </c>
      <c r="B290" s="11" t="s">
        <v>1176</v>
      </c>
      <c r="C290" s="11" t="s">
        <v>743</v>
      </c>
      <c r="D290" s="11">
        <v>1</v>
      </c>
      <c r="E290" s="11">
        <v>2021</v>
      </c>
    </row>
    <row r="291" spans="1:5" hidden="1">
      <c r="A291" s="11">
        <v>2161</v>
      </c>
      <c r="B291" s="11" t="s">
        <v>625</v>
      </c>
      <c r="C291" s="11" t="s">
        <v>742</v>
      </c>
      <c r="D291" s="11">
        <v>1</v>
      </c>
      <c r="E291" s="11">
        <v>2021</v>
      </c>
    </row>
    <row r="292" spans="1:5" hidden="1">
      <c r="A292" s="11">
        <v>2162</v>
      </c>
      <c r="B292" s="11" t="s">
        <v>626</v>
      </c>
      <c r="C292" s="11" t="s">
        <v>741</v>
      </c>
      <c r="D292" s="11">
        <v>1</v>
      </c>
      <c r="E292" s="11">
        <v>2020</v>
      </c>
    </row>
    <row r="293" spans="1:5" hidden="1">
      <c r="A293" s="11">
        <v>2163</v>
      </c>
      <c r="B293" s="11" t="s">
        <v>1177</v>
      </c>
      <c r="C293" s="11" t="s">
        <v>740</v>
      </c>
      <c r="D293" s="11">
        <v>1</v>
      </c>
      <c r="E293" s="11">
        <v>2020</v>
      </c>
    </row>
    <row r="294" spans="1:5" hidden="1">
      <c r="A294" s="11">
        <v>2164</v>
      </c>
      <c r="B294" s="11" t="s">
        <v>1178</v>
      </c>
      <c r="C294" s="11" t="s">
        <v>739</v>
      </c>
      <c r="D294" s="11">
        <v>4</v>
      </c>
      <c r="E294" s="11">
        <v>2020</v>
      </c>
    </row>
    <row r="295" spans="1:5" hidden="1">
      <c r="A295" s="11">
        <v>2165</v>
      </c>
      <c r="B295" s="11" t="s">
        <v>1179</v>
      </c>
      <c r="C295" s="11" t="s">
        <v>738</v>
      </c>
      <c r="D295" s="11">
        <v>11</v>
      </c>
      <c r="E295" s="11">
        <v>2019</v>
      </c>
    </row>
    <row r="296" spans="1:5" hidden="1">
      <c r="A296" s="11">
        <v>2166</v>
      </c>
      <c r="B296" s="11" t="s">
        <v>1180</v>
      </c>
      <c r="C296" s="11" t="s">
        <v>737</v>
      </c>
      <c r="D296" s="11">
        <v>1</v>
      </c>
      <c r="E296" s="11">
        <v>2019</v>
      </c>
    </row>
    <row r="297" spans="1:5" hidden="1">
      <c r="A297" s="11">
        <v>2167</v>
      </c>
      <c r="B297" s="11" t="s">
        <v>627</v>
      </c>
      <c r="C297" s="11" t="s">
        <v>736</v>
      </c>
      <c r="D297" s="11">
        <v>1</v>
      </c>
      <c r="E297" s="11">
        <v>2019</v>
      </c>
    </row>
    <row r="298" spans="1:5" hidden="1">
      <c r="A298" s="11">
        <v>2168</v>
      </c>
      <c r="B298" s="11" t="s">
        <v>628</v>
      </c>
      <c r="C298" s="11" t="s">
        <v>735</v>
      </c>
      <c r="D298" s="11">
        <v>1</v>
      </c>
      <c r="E298" s="11">
        <v>2019</v>
      </c>
    </row>
    <row r="299" spans="1:5" hidden="1">
      <c r="A299" s="11">
        <v>2169</v>
      </c>
      <c r="B299" s="11" t="s">
        <v>1181</v>
      </c>
      <c r="C299" s="11" t="s">
        <v>734</v>
      </c>
      <c r="D299" s="11">
        <v>1</v>
      </c>
      <c r="E299" s="11">
        <v>2018</v>
      </c>
    </row>
    <row r="300" spans="1:5" hidden="1">
      <c r="A300" s="11">
        <v>2170</v>
      </c>
      <c r="B300" s="11" t="s">
        <v>1182</v>
      </c>
      <c r="C300" s="11" t="s">
        <v>733</v>
      </c>
      <c r="D300" s="11">
        <v>11</v>
      </c>
      <c r="E300" s="11">
        <v>2018</v>
      </c>
    </row>
    <row r="301" spans="1:5" hidden="1">
      <c r="A301" s="11">
        <v>2171</v>
      </c>
      <c r="B301" s="11" t="s">
        <v>1183</v>
      </c>
      <c r="C301" s="11" t="s">
        <v>732</v>
      </c>
      <c r="D301" s="11">
        <v>1</v>
      </c>
      <c r="E301" s="11">
        <v>2018</v>
      </c>
    </row>
    <row r="302" spans="1:5" hidden="1">
      <c r="A302" s="11">
        <v>2172</v>
      </c>
      <c r="B302" s="11" t="s">
        <v>1184</v>
      </c>
      <c r="C302" s="11" t="s">
        <v>731</v>
      </c>
      <c r="D302" s="11">
        <v>1</v>
      </c>
      <c r="E302" s="11">
        <v>2018</v>
      </c>
    </row>
    <row r="303" spans="1:5" hidden="1">
      <c r="A303" s="11">
        <v>2173</v>
      </c>
      <c r="B303" s="11" t="s">
        <v>1185</v>
      </c>
      <c r="C303" s="11" t="s">
        <v>730</v>
      </c>
      <c r="D303" s="11">
        <v>1</v>
      </c>
      <c r="E303" s="11">
        <v>2016</v>
      </c>
    </row>
    <row r="304" spans="1:5" hidden="1">
      <c r="A304" s="11">
        <v>2174</v>
      </c>
      <c r="B304" s="11" t="s">
        <v>1186</v>
      </c>
      <c r="C304" s="11" t="s">
        <v>729</v>
      </c>
      <c r="D304" s="11">
        <v>12</v>
      </c>
      <c r="E304" s="11">
        <v>2016</v>
      </c>
    </row>
    <row r="305" spans="1:5" hidden="1">
      <c r="A305" s="11">
        <v>2175</v>
      </c>
      <c r="B305" s="11" t="s">
        <v>1187</v>
      </c>
      <c r="C305" s="11" t="s">
        <v>728</v>
      </c>
      <c r="D305" s="11">
        <v>1</v>
      </c>
      <c r="E305" s="11">
        <v>2016</v>
      </c>
    </row>
    <row r="306" spans="1:5" hidden="1">
      <c r="A306" s="11">
        <v>2176</v>
      </c>
      <c r="B306" s="11" t="s">
        <v>1188</v>
      </c>
      <c r="C306" s="11" t="s">
        <v>727</v>
      </c>
      <c r="D306" s="11">
        <v>1</v>
      </c>
      <c r="E306" s="11">
        <v>2015</v>
      </c>
    </row>
    <row r="307" spans="1:5" hidden="1">
      <c r="A307" s="11">
        <v>2177</v>
      </c>
      <c r="B307" s="11" t="s">
        <v>629</v>
      </c>
      <c r="C307" s="11" t="s">
        <v>726</v>
      </c>
      <c r="D307" s="11">
        <v>1</v>
      </c>
      <c r="E307" s="11">
        <v>2015</v>
      </c>
    </row>
    <row r="308" spans="1:5" hidden="1">
      <c r="A308" s="11">
        <v>2178</v>
      </c>
      <c r="B308" s="11" t="s">
        <v>1189</v>
      </c>
      <c r="C308" s="11" t="s">
        <v>725</v>
      </c>
      <c r="D308" s="11">
        <v>1</v>
      </c>
      <c r="E308" s="11">
        <v>2015</v>
      </c>
    </row>
    <row r="309" spans="1:5" hidden="1">
      <c r="A309" s="11">
        <v>2179</v>
      </c>
      <c r="B309" s="11" t="s">
        <v>1190</v>
      </c>
      <c r="C309" s="11" t="s">
        <v>724</v>
      </c>
      <c r="D309" s="11">
        <v>8</v>
      </c>
      <c r="E309" s="11">
        <v>2015</v>
      </c>
    </row>
    <row r="310" spans="1:5" hidden="1">
      <c r="A310" s="11">
        <v>2180</v>
      </c>
      <c r="B310" s="11" t="s">
        <v>630</v>
      </c>
      <c r="C310" s="11" t="s">
        <v>723</v>
      </c>
      <c r="D310" s="11">
        <v>1</v>
      </c>
      <c r="E310" s="11">
        <v>2014</v>
      </c>
    </row>
    <row r="311" spans="1:5" hidden="1">
      <c r="A311" s="11">
        <v>2181</v>
      </c>
      <c r="B311" s="11" t="s">
        <v>1191</v>
      </c>
      <c r="C311" s="11" t="s">
        <v>722</v>
      </c>
      <c r="D311" s="11">
        <v>4</v>
      </c>
      <c r="E311" s="11">
        <v>2014</v>
      </c>
    </row>
    <row r="312" spans="1:5" hidden="1">
      <c r="A312" s="11">
        <v>2182</v>
      </c>
      <c r="B312" s="11" t="s">
        <v>1192</v>
      </c>
      <c r="C312" s="11" t="s">
        <v>721</v>
      </c>
      <c r="D312" s="11">
        <v>1</v>
      </c>
      <c r="E312" s="11">
        <v>2014</v>
      </c>
    </row>
    <row r="313" spans="1:5" hidden="1">
      <c r="A313" s="11">
        <v>2183</v>
      </c>
      <c r="B313" s="11" t="s">
        <v>1193</v>
      </c>
      <c r="C313" s="11" t="s">
        <v>720</v>
      </c>
      <c r="D313" s="11">
        <v>9</v>
      </c>
      <c r="E313" s="11">
        <v>2014</v>
      </c>
    </row>
    <row r="314" spans="1:5" hidden="1">
      <c r="A314" s="11">
        <v>2184</v>
      </c>
      <c r="B314" s="11" t="s">
        <v>1194</v>
      </c>
      <c r="C314" s="11" t="s">
        <v>719</v>
      </c>
      <c r="D314" s="11">
        <v>1</v>
      </c>
      <c r="E314" s="11">
        <v>2014</v>
      </c>
    </row>
    <row r="315" spans="1:5" hidden="1">
      <c r="A315" s="11">
        <v>2185</v>
      </c>
      <c r="B315" s="11" t="s">
        <v>1195</v>
      </c>
      <c r="C315" s="11" t="s">
        <v>718</v>
      </c>
      <c r="D315" s="11">
        <v>6</v>
      </c>
      <c r="E315" s="11">
        <v>2014</v>
      </c>
    </row>
    <row r="316" spans="1:5" hidden="1">
      <c r="A316" s="11">
        <v>2186</v>
      </c>
      <c r="B316" s="11" t="s">
        <v>1196</v>
      </c>
      <c r="C316" s="11" t="s">
        <v>717</v>
      </c>
      <c r="D316" s="11">
        <v>8</v>
      </c>
      <c r="E316" s="11">
        <v>2013</v>
      </c>
    </row>
    <row r="317" spans="1:5" hidden="1">
      <c r="A317" s="11">
        <v>2187</v>
      </c>
      <c r="B317" s="11" t="s">
        <v>1197</v>
      </c>
      <c r="C317" s="11" t="s">
        <v>716</v>
      </c>
      <c r="D317" s="11">
        <v>8</v>
      </c>
      <c r="E317" s="11">
        <v>2013</v>
      </c>
    </row>
    <row r="318" spans="1:5" hidden="1">
      <c r="A318" s="11">
        <v>2188</v>
      </c>
      <c r="B318" s="11" t="s">
        <v>1198</v>
      </c>
      <c r="C318" s="11" t="s">
        <v>715</v>
      </c>
      <c r="D318" s="11">
        <v>1</v>
      </c>
      <c r="E318" s="11">
        <v>2013</v>
      </c>
    </row>
    <row r="319" spans="1:5" hidden="1">
      <c r="A319" s="11">
        <v>2189</v>
      </c>
      <c r="B319" s="11" t="s">
        <v>1199</v>
      </c>
      <c r="C319" s="11" t="s">
        <v>714</v>
      </c>
      <c r="D319" s="11">
        <v>8</v>
      </c>
      <c r="E319" s="11">
        <v>2013</v>
      </c>
    </row>
    <row r="320" spans="1:5" hidden="1">
      <c r="A320" s="11">
        <v>2190</v>
      </c>
      <c r="B320" s="11" t="s">
        <v>1200</v>
      </c>
      <c r="C320" s="11" t="s">
        <v>713</v>
      </c>
      <c r="D320" s="11">
        <v>1</v>
      </c>
      <c r="E320" s="11">
        <v>2012</v>
      </c>
    </row>
    <row r="321" spans="1:5" hidden="1">
      <c r="A321" s="11">
        <v>2191</v>
      </c>
      <c r="B321" s="11" t="s">
        <v>1201</v>
      </c>
      <c r="C321" s="11" t="s">
        <v>712</v>
      </c>
      <c r="D321" s="11">
        <v>12</v>
      </c>
      <c r="E321" s="11">
        <v>2012</v>
      </c>
    </row>
    <row r="322" spans="1:5" hidden="1">
      <c r="A322" s="11">
        <v>2192</v>
      </c>
      <c r="B322" s="11" t="s">
        <v>631</v>
      </c>
      <c r="C322" s="11" t="s">
        <v>711</v>
      </c>
      <c r="D322" s="11">
        <v>7</v>
      </c>
      <c r="E322" s="11">
        <v>2012</v>
      </c>
    </row>
    <row r="323" spans="1:5" hidden="1">
      <c r="A323" s="11">
        <v>2193</v>
      </c>
      <c r="B323" s="11" t="s">
        <v>632</v>
      </c>
      <c r="C323" s="11" t="s">
        <v>710</v>
      </c>
      <c r="D323" s="11">
        <v>12</v>
      </c>
      <c r="E323" s="11">
        <v>2011</v>
      </c>
    </row>
    <row r="324" spans="1:5" hidden="1">
      <c r="A324" s="11">
        <v>2194</v>
      </c>
      <c r="B324" s="11" t="s">
        <v>1202</v>
      </c>
      <c r="C324" s="11" t="s">
        <v>709</v>
      </c>
      <c r="D324" s="11">
        <v>6</v>
      </c>
      <c r="E324" s="11">
        <v>2012</v>
      </c>
    </row>
    <row r="325" spans="1:5" hidden="1">
      <c r="A325" s="11">
        <v>2195</v>
      </c>
      <c r="B325" s="11" t="s">
        <v>1203</v>
      </c>
      <c r="C325" s="11" t="s">
        <v>708</v>
      </c>
      <c r="D325" s="11">
        <v>3</v>
      </c>
      <c r="E325" s="11">
        <v>2012</v>
      </c>
    </row>
    <row r="326" spans="1:5" hidden="1">
      <c r="A326" s="11">
        <v>2196</v>
      </c>
      <c r="B326" s="11" t="s">
        <v>1204</v>
      </c>
      <c r="C326" s="11" t="s">
        <v>707</v>
      </c>
      <c r="D326" s="11">
        <v>1</v>
      </c>
      <c r="E326" s="11">
        <v>2012</v>
      </c>
    </row>
    <row r="327" spans="1:5" hidden="1">
      <c r="A327" s="11">
        <v>2197</v>
      </c>
      <c r="B327" s="11" t="s">
        <v>1205</v>
      </c>
      <c r="C327" s="11" t="s">
        <v>706</v>
      </c>
      <c r="D327" s="11">
        <v>6</v>
      </c>
      <c r="E327" s="11">
        <v>2012</v>
      </c>
    </row>
    <row r="328" spans="1:5" hidden="1">
      <c r="A328" s="11">
        <v>2198</v>
      </c>
      <c r="B328" s="11" t="s">
        <v>1206</v>
      </c>
      <c r="C328" s="11" t="s">
        <v>705</v>
      </c>
      <c r="D328" s="11">
        <v>9</v>
      </c>
      <c r="E328" s="11">
        <v>2012</v>
      </c>
    </row>
    <row r="329" spans="1:5" hidden="1">
      <c r="A329" s="11">
        <v>2199</v>
      </c>
      <c r="B329" s="11" t="s">
        <v>633</v>
      </c>
      <c r="C329" s="11" t="s">
        <v>704</v>
      </c>
      <c r="D329" s="11">
        <v>3</v>
      </c>
      <c r="E329" s="11">
        <v>2011</v>
      </c>
    </row>
    <row r="330" spans="1:5" hidden="1">
      <c r="A330" s="11">
        <v>2200</v>
      </c>
      <c r="B330" s="11" t="s">
        <v>634</v>
      </c>
      <c r="C330" s="11" t="s">
        <v>703</v>
      </c>
      <c r="D330" s="11">
        <v>7</v>
      </c>
      <c r="E330" s="11">
        <v>2011</v>
      </c>
    </row>
    <row r="331" spans="1:5" hidden="1">
      <c r="A331" s="11">
        <v>2201</v>
      </c>
      <c r="B331" s="11" t="s">
        <v>1207</v>
      </c>
      <c r="C331" s="11" t="s">
        <v>702</v>
      </c>
      <c r="D331" s="11">
        <v>1</v>
      </c>
      <c r="E331" s="11">
        <v>2011</v>
      </c>
    </row>
    <row r="332" spans="1:5" hidden="1">
      <c r="A332" s="11">
        <v>2202</v>
      </c>
      <c r="B332" s="11" t="s">
        <v>635</v>
      </c>
      <c r="C332" s="11" t="s">
        <v>701</v>
      </c>
      <c r="D332" s="11">
        <v>1</v>
      </c>
      <c r="E332" s="11">
        <v>2011</v>
      </c>
    </row>
    <row r="333" spans="1:5" hidden="1">
      <c r="A333" s="11">
        <v>2203</v>
      </c>
      <c r="B333" s="11" t="s">
        <v>1208</v>
      </c>
      <c r="C333" s="11" t="s">
        <v>700</v>
      </c>
      <c r="D333" s="11">
        <v>12</v>
      </c>
      <c r="E333" s="11">
        <v>2010</v>
      </c>
    </row>
    <row r="334" spans="1:5" hidden="1">
      <c r="A334" s="11">
        <v>2204</v>
      </c>
      <c r="B334" s="11" t="s">
        <v>1209</v>
      </c>
      <c r="C334" s="11" t="s">
        <v>699</v>
      </c>
      <c r="D334" s="11">
        <v>5</v>
      </c>
      <c r="E334" s="11">
        <v>2011</v>
      </c>
    </row>
    <row r="335" spans="1:5" hidden="1">
      <c r="A335" s="11">
        <v>2205</v>
      </c>
      <c r="B335" s="11" t="s">
        <v>1210</v>
      </c>
      <c r="C335" s="11" t="s">
        <v>698</v>
      </c>
      <c r="D335" s="11">
        <v>1</v>
      </c>
      <c r="E335" s="11">
        <v>2011</v>
      </c>
    </row>
    <row r="336" spans="1:5" hidden="1">
      <c r="A336" s="11">
        <v>2206</v>
      </c>
      <c r="B336" s="11" t="s">
        <v>1211</v>
      </c>
      <c r="C336" s="11" t="s">
        <v>697</v>
      </c>
      <c r="D336" s="11">
        <v>4</v>
      </c>
      <c r="E336" s="11">
        <v>2010</v>
      </c>
    </row>
    <row r="337" spans="1:5" hidden="1">
      <c r="A337" s="11">
        <v>2207</v>
      </c>
      <c r="B337" s="11" t="s">
        <v>1212</v>
      </c>
      <c r="C337" s="11" t="s">
        <v>696</v>
      </c>
      <c r="D337" s="11">
        <v>4</v>
      </c>
      <c r="E337" s="11">
        <v>2010</v>
      </c>
    </row>
    <row r="338" spans="1:5" hidden="1">
      <c r="A338" s="11">
        <v>2208</v>
      </c>
      <c r="B338" s="11" t="s">
        <v>1213</v>
      </c>
      <c r="C338" s="11" t="s">
        <v>695</v>
      </c>
      <c r="D338" s="11">
        <v>1</v>
      </c>
      <c r="E338" s="11">
        <v>2010</v>
      </c>
    </row>
    <row r="339" spans="1:5" hidden="1">
      <c r="A339" s="11">
        <v>2209</v>
      </c>
      <c r="B339" s="11" t="s">
        <v>636</v>
      </c>
      <c r="C339" s="11" t="s">
        <v>694</v>
      </c>
      <c r="D339" s="11">
        <v>12</v>
      </c>
      <c r="E339" s="11">
        <v>2009</v>
      </c>
    </row>
    <row r="340" spans="1:5" hidden="1">
      <c r="A340" s="11">
        <v>2210</v>
      </c>
      <c r="B340" s="11" t="s">
        <v>637</v>
      </c>
      <c r="C340" s="11" t="s">
        <v>693</v>
      </c>
      <c r="D340" s="11">
        <v>8</v>
      </c>
      <c r="E340" s="11">
        <v>2009</v>
      </c>
    </row>
    <row r="341" spans="1:5" hidden="1">
      <c r="A341" s="11">
        <v>2211</v>
      </c>
      <c r="B341" s="11" t="s">
        <v>638</v>
      </c>
      <c r="C341" s="11" t="s">
        <v>692</v>
      </c>
      <c r="D341" s="11">
        <v>1</v>
      </c>
      <c r="E341" s="11">
        <v>2009</v>
      </c>
    </row>
    <row r="342" spans="1:5" hidden="1">
      <c r="A342" s="11">
        <v>2212</v>
      </c>
      <c r="B342" s="11" t="s">
        <v>1214</v>
      </c>
      <c r="C342" s="11" t="s">
        <v>691</v>
      </c>
      <c r="D342" s="11">
        <v>8</v>
      </c>
      <c r="E342" s="11">
        <v>2009</v>
      </c>
    </row>
    <row r="343" spans="1:5" hidden="1">
      <c r="A343" s="11">
        <v>2213</v>
      </c>
      <c r="B343" s="11" t="s">
        <v>1215</v>
      </c>
      <c r="C343" s="11" t="s">
        <v>690</v>
      </c>
      <c r="D343" s="11">
        <v>5</v>
      </c>
      <c r="E343" s="11">
        <v>2009</v>
      </c>
    </row>
    <row r="344" spans="1:5" hidden="1">
      <c r="A344" s="11">
        <v>2214</v>
      </c>
      <c r="B344" s="11" t="s">
        <v>639</v>
      </c>
      <c r="C344" s="11" t="s">
        <v>689</v>
      </c>
      <c r="D344" s="11">
        <v>4</v>
      </c>
      <c r="E344" s="11">
        <v>2009</v>
      </c>
    </row>
    <row r="345" spans="1:5" hidden="1">
      <c r="A345" s="11">
        <v>2215</v>
      </c>
      <c r="B345" s="11" t="s">
        <v>640</v>
      </c>
      <c r="C345" s="11" t="s">
        <v>688</v>
      </c>
      <c r="D345" s="11">
        <v>1</v>
      </c>
      <c r="E345" s="11">
        <v>2009</v>
      </c>
    </row>
    <row r="346" spans="1:5" hidden="1">
      <c r="A346" s="11">
        <v>2216</v>
      </c>
      <c r="B346" s="11" t="s">
        <v>1216</v>
      </c>
      <c r="C346" s="11" t="s">
        <v>687</v>
      </c>
      <c r="D346" s="11">
        <v>8</v>
      </c>
      <c r="E346" s="11">
        <v>2008</v>
      </c>
    </row>
    <row r="347" spans="1:5" hidden="1">
      <c r="A347" s="11">
        <v>2217</v>
      </c>
      <c r="B347" s="11" t="s">
        <v>641</v>
      </c>
      <c r="C347" s="11" t="s">
        <v>686</v>
      </c>
      <c r="D347" s="11">
        <v>3</v>
      </c>
      <c r="E347" s="11">
        <v>2008</v>
      </c>
    </row>
    <row r="348" spans="1:5" hidden="1">
      <c r="A348" s="11">
        <v>2218</v>
      </c>
      <c r="B348" s="11" t="s">
        <v>1217</v>
      </c>
      <c r="C348" s="11" t="s">
        <v>685</v>
      </c>
      <c r="D348" s="11">
        <v>6</v>
      </c>
      <c r="E348" s="11">
        <v>2008</v>
      </c>
    </row>
    <row r="349" spans="1:5" hidden="1">
      <c r="A349" s="11">
        <v>2219</v>
      </c>
      <c r="B349" s="11" t="s">
        <v>1218</v>
      </c>
      <c r="C349" s="11" t="s">
        <v>684</v>
      </c>
      <c r="D349" s="11">
        <v>12</v>
      </c>
      <c r="E349" s="11">
        <v>2008</v>
      </c>
    </row>
    <row r="350" spans="1:5" hidden="1">
      <c r="A350" s="11">
        <v>2220</v>
      </c>
      <c r="B350" s="11" t="s">
        <v>642</v>
      </c>
      <c r="C350" s="11" t="s">
        <v>683</v>
      </c>
      <c r="D350" s="11">
        <v>6</v>
      </c>
      <c r="E350" s="11">
        <v>2008</v>
      </c>
    </row>
    <row r="351" spans="1:5" hidden="1">
      <c r="A351" s="11">
        <v>2221</v>
      </c>
      <c r="B351" s="11" t="s">
        <v>1219</v>
      </c>
      <c r="C351" s="11" t="s">
        <v>682</v>
      </c>
      <c r="D351" s="11">
        <v>11</v>
      </c>
      <c r="E351" s="11">
        <v>2007</v>
      </c>
    </row>
    <row r="352" spans="1:5" hidden="1">
      <c r="A352" s="11">
        <v>2222</v>
      </c>
      <c r="B352" s="11" t="s">
        <v>1220</v>
      </c>
      <c r="C352" s="11" t="s">
        <v>681</v>
      </c>
      <c r="D352" s="11">
        <v>2</v>
      </c>
      <c r="E352" s="11">
        <v>2007</v>
      </c>
    </row>
    <row r="353" spans="1:5" hidden="1">
      <c r="A353" s="11">
        <v>2223</v>
      </c>
      <c r="B353" s="11" t="s">
        <v>1221</v>
      </c>
      <c r="C353" s="11" t="s">
        <v>680</v>
      </c>
      <c r="D353" s="11">
        <v>7</v>
      </c>
      <c r="E353" s="11">
        <v>2006</v>
      </c>
    </row>
    <row r="354" spans="1:5">
      <c r="A354" s="11">
        <v>2224</v>
      </c>
      <c r="B354" s="11" t="s">
        <v>643</v>
      </c>
      <c r="C354" s="11" t="s">
        <v>1247</v>
      </c>
      <c r="D354" s="11">
        <v>5</v>
      </c>
      <c r="E354" s="11">
        <v>2006</v>
      </c>
    </row>
    <row r="355" spans="1:5">
      <c r="A355" s="11">
        <v>2225</v>
      </c>
      <c r="B355" s="11" t="s">
        <v>644</v>
      </c>
      <c r="C355" s="11" t="s">
        <v>1248</v>
      </c>
      <c r="D355" s="11">
        <v>6</v>
      </c>
      <c r="E355" s="11">
        <v>2006</v>
      </c>
    </row>
    <row r="356" spans="1:5">
      <c r="A356" s="11">
        <v>2226</v>
      </c>
      <c r="B356" s="11" t="s">
        <v>645</v>
      </c>
      <c r="C356" s="11" t="s">
        <v>1249</v>
      </c>
      <c r="D356" s="11">
        <v>1</v>
      </c>
      <c r="E356" s="11">
        <v>2006</v>
      </c>
    </row>
    <row r="357" spans="1:5" hidden="1">
      <c r="A357" s="11">
        <v>2227</v>
      </c>
      <c r="B357" s="11" t="s">
        <v>646</v>
      </c>
      <c r="C357" s="11" t="s">
        <v>679</v>
      </c>
      <c r="D357" s="11">
        <v>1</v>
      </c>
      <c r="E357" s="11">
        <v>2005</v>
      </c>
    </row>
    <row r="358" spans="1:5" hidden="1">
      <c r="A358" s="11">
        <v>2228</v>
      </c>
      <c r="B358" s="11" t="s">
        <v>1222</v>
      </c>
      <c r="C358" s="11" t="s">
        <v>678</v>
      </c>
      <c r="D358" s="11">
        <v>1</v>
      </c>
      <c r="E358" s="11">
        <v>2005</v>
      </c>
    </row>
    <row r="359" spans="1:5" hidden="1">
      <c r="A359" s="11">
        <v>2229</v>
      </c>
      <c r="B359" s="11" t="s">
        <v>1223</v>
      </c>
      <c r="C359" s="11" t="s">
        <v>677</v>
      </c>
      <c r="D359" s="11">
        <v>4</v>
      </c>
      <c r="E359" s="11">
        <v>2005</v>
      </c>
    </row>
    <row r="360" spans="1:5" hidden="1">
      <c r="A360" s="11">
        <v>2230</v>
      </c>
      <c r="B360" s="11" t="s">
        <v>647</v>
      </c>
      <c r="C360" s="11" t="s">
        <v>676</v>
      </c>
      <c r="D360" s="11">
        <v>1</v>
      </c>
      <c r="E360" s="11">
        <v>2003</v>
      </c>
    </row>
    <row r="361" spans="1:5" hidden="1">
      <c r="A361" s="11">
        <v>2231</v>
      </c>
      <c r="B361" s="11" t="s">
        <v>1224</v>
      </c>
      <c r="C361" s="11" t="s">
        <v>675</v>
      </c>
      <c r="D361" s="11">
        <v>1</v>
      </c>
      <c r="E361" s="11">
        <v>2001</v>
      </c>
    </row>
    <row r="362" spans="1:5" hidden="1">
      <c r="A362" s="11">
        <v>2232</v>
      </c>
      <c r="B362" s="11" t="s">
        <v>648</v>
      </c>
      <c r="C362" s="11" t="s">
        <v>674</v>
      </c>
      <c r="D362" s="11">
        <v>7</v>
      </c>
      <c r="E362" s="11">
        <v>2009</v>
      </c>
    </row>
    <row r="363" spans="1:5" hidden="1">
      <c r="A363" s="11">
        <v>2233</v>
      </c>
      <c r="B363" s="11" t="s">
        <v>649</v>
      </c>
      <c r="C363" s="11" t="s">
        <v>673</v>
      </c>
      <c r="D363" s="11">
        <v>2</v>
      </c>
      <c r="E363" s="11">
        <v>2008</v>
      </c>
    </row>
    <row r="364" spans="1:5" hidden="1">
      <c r="A364" s="11">
        <v>2234</v>
      </c>
      <c r="B364" s="11" t="s">
        <v>650</v>
      </c>
      <c r="C364" s="11" t="s">
        <v>672</v>
      </c>
      <c r="D364" s="11">
        <v>3</v>
      </c>
      <c r="E364" s="11">
        <v>2010</v>
      </c>
    </row>
    <row r="365" spans="1:5" hidden="1">
      <c r="A365" s="11">
        <v>2235</v>
      </c>
      <c r="B365" s="11" t="s">
        <v>651</v>
      </c>
      <c r="C365" s="11" t="s">
        <v>671</v>
      </c>
      <c r="D365" s="11">
        <v>8</v>
      </c>
      <c r="E365" s="11">
        <v>2006</v>
      </c>
    </row>
    <row r="366" spans="1:5" hidden="1">
      <c r="A366" s="11">
        <v>2236</v>
      </c>
      <c r="B366" s="11" t="s">
        <v>1225</v>
      </c>
      <c r="C366" s="11" t="s">
        <v>670</v>
      </c>
      <c r="D366" s="11">
        <v>10</v>
      </c>
      <c r="E366" s="11">
        <v>2005</v>
      </c>
    </row>
    <row r="367" spans="1:5" hidden="1">
      <c r="A367" s="11">
        <v>2237</v>
      </c>
      <c r="B367" s="11" t="s">
        <v>1226</v>
      </c>
      <c r="C367" s="11" t="s">
        <v>669</v>
      </c>
      <c r="D367" s="11">
        <v>4</v>
      </c>
      <c r="E367" s="11">
        <v>2004</v>
      </c>
    </row>
    <row r="368" spans="1:5" hidden="1">
      <c r="A368" s="11">
        <v>2238</v>
      </c>
      <c r="B368" s="11" t="s">
        <v>652</v>
      </c>
      <c r="C368" s="11" t="s">
        <v>668</v>
      </c>
      <c r="D368" s="11">
        <v>9</v>
      </c>
      <c r="E368" s="11">
        <v>2003</v>
      </c>
    </row>
    <row r="369" spans="1:5" hidden="1">
      <c r="A369" s="11">
        <v>2239</v>
      </c>
      <c r="B369" s="11" t="s">
        <v>653</v>
      </c>
      <c r="C369" s="11" t="s">
        <v>667</v>
      </c>
      <c r="D369" s="11">
        <v>6</v>
      </c>
      <c r="E369" s="11">
        <v>2003</v>
      </c>
    </row>
    <row r="370" spans="1:5" hidden="1">
      <c r="A370" s="11">
        <v>2240</v>
      </c>
      <c r="B370" s="11" t="s">
        <v>654</v>
      </c>
      <c r="C370" s="11" t="s">
        <v>666</v>
      </c>
      <c r="D370" s="11">
        <v>2</v>
      </c>
      <c r="E370" s="11">
        <v>2003</v>
      </c>
    </row>
    <row r="371" spans="1:5" hidden="1">
      <c r="A371" s="11">
        <v>2241</v>
      </c>
      <c r="B371" s="11" t="s">
        <v>655</v>
      </c>
      <c r="C371" s="11" t="s">
        <v>665</v>
      </c>
      <c r="D371" s="11">
        <v>4</v>
      </c>
      <c r="E371" s="11">
        <v>2002</v>
      </c>
    </row>
    <row r="372" spans="1:5" hidden="1">
      <c r="A372" s="11">
        <v>2242</v>
      </c>
      <c r="B372" s="11" t="s">
        <v>656</v>
      </c>
      <c r="C372" s="11" t="s">
        <v>664</v>
      </c>
      <c r="D372" s="11">
        <v>12</v>
      </c>
      <c r="E372" s="11">
        <v>1998</v>
      </c>
    </row>
    <row r="373" spans="1:5" hidden="1">
      <c r="A373" s="11">
        <v>2243</v>
      </c>
      <c r="B373" s="11" t="s">
        <v>1227</v>
      </c>
      <c r="C373" s="11" t="s">
        <v>663</v>
      </c>
      <c r="D373" s="11">
        <v>11</v>
      </c>
      <c r="E373" s="11">
        <v>1998</v>
      </c>
    </row>
    <row r="374" spans="1:5">
      <c r="A374" s="11">
        <v>2244</v>
      </c>
      <c r="B374" s="11" t="s">
        <v>1228</v>
      </c>
      <c r="C374" s="11" t="s">
        <v>662</v>
      </c>
    </row>
    <row r="375" spans="1:5">
      <c r="A375" s="11">
        <v>2245</v>
      </c>
      <c r="B375" s="11" t="s">
        <v>1229</v>
      </c>
      <c r="C375" s="11" t="s">
        <v>662</v>
      </c>
    </row>
    <row r="376" spans="1:5">
      <c r="A376" s="11">
        <v>2246</v>
      </c>
      <c r="B376" s="11" t="s">
        <v>1230</v>
      </c>
      <c r="C376" s="11" t="s">
        <v>662</v>
      </c>
    </row>
    <row r="377" spans="1:5" hidden="1">
      <c r="A377" s="11">
        <v>2247</v>
      </c>
      <c r="B377" s="11" t="s">
        <v>1231</v>
      </c>
      <c r="C377" s="11" t="s">
        <v>661</v>
      </c>
      <c r="D377" s="11">
        <v>8</v>
      </c>
      <c r="E377" s="11">
        <v>2009</v>
      </c>
    </row>
    <row r="378" spans="1:5">
      <c r="A378" s="11">
        <v>33413</v>
      </c>
      <c r="B378" s="11" t="s">
        <v>1235</v>
      </c>
      <c r="C378" s="11" t="s">
        <v>662</v>
      </c>
    </row>
    <row r="379" spans="1:5">
      <c r="A379" s="11">
        <v>47676</v>
      </c>
      <c r="B379" s="11" t="s">
        <v>1236</v>
      </c>
      <c r="C379" s="11" t="s">
        <v>662</v>
      </c>
    </row>
    <row r="380" spans="1:5">
      <c r="A380" s="11">
        <v>47681</v>
      </c>
      <c r="B380" s="11" t="s">
        <v>1237</v>
      </c>
      <c r="C380" s="11" t="s">
        <v>662</v>
      </c>
    </row>
    <row r="381" spans="1:5">
      <c r="A381" s="11">
        <v>47682</v>
      </c>
      <c r="B381" s="11" t="s">
        <v>1238</v>
      </c>
      <c r="C381" s="11" t="s">
        <v>662</v>
      </c>
    </row>
    <row r="382" spans="1:5">
      <c r="A382" s="11">
        <v>47683</v>
      </c>
      <c r="B382" s="11" t="s">
        <v>1239</v>
      </c>
      <c r="C382" s="11" t="s">
        <v>662</v>
      </c>
    </row>
    <row r="383" spans="1:5">
      <c r="A383" s="11">
        <v>47717</v>
      </c>
      <c r="B383" s="11" t="s">
        <v>1240</v>
      </c>
      <c r="C383" s="11" t="s">
        <v>662</v>
      </c>
    </row>
    <row r="384" spans="1:5">
      <c r="A384" s="11">
        <v>47748</v>
      </c>
      <c r="B384" s="11" t="s">
        <v>1241</v>
      </c>
      <c r="C384" s="11" t="s">
        <v>662</v>
      </c>
    </row>
    <row r="385" spans="1:3">
      <c r="A385" s="11" t="e">
        <v>#VALUE!</v>
      </c>
      <c r="B385" s="11" t="s">
        <v>1242</v>
      </c>
      <c r="C385" s="11" t="s">
        <v>662</v>
      </c>
    </row>
  </sheetData>
  <autoFilter ref="A1:E385" xr:uid="{00000000-0001-0000-0000-000000000000}">
    <filterColumn colId="2">
      <filters>
        <filter val="未找到DOI"/>
      </filters>
    </filterColumn>
    <sortState xmlns:xlrd2="http://schemas.microsoft.com/office/spreadsheetml/2017/richdata2" ref="A2:E376">
      <sortCondition descending="1" ref="E1:E376"/>
    </sortState>
  </autoFilter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date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臻至 谭</cp:lastModifiedBy>
  <dcterms:created xsi:type="dcterms:W3CDTF">2025-06-05T14:49:56Z</dcterms:created>
  <dcterms:modified xsi:type="dcterms:W3CDTF">2025-09-22T01:18:42Z</dcterms:modified>
</cp:coreProperties>
</file>